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malra\Downloads\personal financial model\JSW steel ( manufacturing industry)\Relative Valuation\"/>
    </mc:Choice>
  </mc:AlternateContent>
  <xr:revisionPtr revIDLastSave="0" documentId="13_ncr:1_{F3A941E7-9293-4A1F-9463-84FA4C09835E}" xr6:coauthVersionLast="47" xr6:coauthVersionMax="47" xr10:uidLastSave="{00000000-0000-0000-0000-000000000000}"/>
  <bookViews>
    <workbookView xWindow="-120" yWindow="-120" windowWidth="20730" windowHeight="11040" activeTab="1" xr2:uid="{96F02DCE-D803-4437-BDB0-D764FE223E04}"/>
  </bookViews>
  <sheets>
    <sheet name="Sheet1" sheetId="1" r:id="rId1"/>
    <sheet name="SSEI" sheetId="5" r:id="rId2"/>
    <sheet name="Data Sheet" sheetId="3" r:id="rId3"/>
  </sheets>
  <definedNames>
    <definedName name="_xlnm.Print_Area" localSheetId="0">Sheet1!$A$1:$P$47</definedName>
    <definedName name="_xlnm.Print_Area" localSheetId="1">SSEI!$A$1:$Q$83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8" i="5" l="1"/>
  <c r="P68" i="5"/>
  <c r="N71" i="5"/>
  <c r="O71" i="5" s="1"/>
  <c r="N73" i="5"/>
  <c r="O73" i="5"/>
  <c r="P73" i="5" s="1"/>
  <c r="I30" i="5"/>
  <c r="H30" i="5"/>
  <c r="G30" i="5"/>
  <c r="B63" i="5"/>
  <c r="B62" i="5"/>
  <c r="B61" i="5"/>
  <c r="E54" i="5"/>
  <c r="H62" i="5" s="1"/>
  <c r="I62" i="5" s="1"/>
  <c r="J62" i="5" s="1"/>
  <c r="D34" i="5"/>
  <c r="D35" i="5"/>
  <c r="D36" i="5"/>
  <c r="D37" i="5"/>
  <c r="D38" i="5"/>
  <c r="D39" i="5"/>
  <c r="D40" i="5"/>
  <c r="D41" i="5"/>
  <c r="D33" i="5"/>
  <c r="D32" i="5"/>
  <c r="N68" i="5"/>
  <c r="P25" i="5"/>
  <c r="N25" i="5"/>
  <c r="P24" i="5"/>
  <c r="N24" i="5"/>
  <c r="P23" i="5"/>
  <c r="N23" i="5"/>
  <c r="P22" i="5"/>
  <c r="N22" i="5"/>
  <c r="P21" i="5"/>
  <c r="N21" i="5"/>
  <c r="P20" i="5"/>
  <c r="N20" i="5"/>
  <c r="O18" i="5"/>
  <c r="L18" i="5"/>
  <c r="O17" i="5"/>
  <c r="L17" i="5"/>
  <c r="O16" i="5"/>
  <c r="L16" i="5"/>
  <c r="O15" i="5"/>
  <c r="L15" i="5"/>
  <c r="O14" i="5"/>
  <c r="L14" i="5"/>
  <c r="O13" i="5"/>
  <c r="L13" i="5"/>
  <c r="O12" i="5"/>
  <c r="L12" i="5"/>
  <c r="O11" i="5"/>
  <c r="L11" i="5"/>
  <c r="O10" i="5"/>
  <c r="L10" i="5"/>
  <c r="O9" i="5"/>
  <c r="O25" i="5" s="1"/>
  <c r="L9" i="5"/>
  <c r="O31" i="1"/>
  <c r="N31" i="1"/>
  <c r="M31" i="1"/>
  <c r="M36" i="1"/>
  <c r="N36" i="1" s="1"/>
  <c r="O36" i="1" s="1"/>
  <c r="M34" i="1"/>
  <c r="N34" i="1" s="1"/>
  <c r="H63" i="5" l="1"/>
  <c r="I63" i="5" s="1"/>
  <c r="J63" i="5" s="1"/>
  <c r="H61" i="5"/>
  <c r="I61" i="5" s="1"/>
  <c r="J61" i="5" s="1"/>
  <c r="D42" i="5"/>
  <c r="E32" i="5" s="1"/>
  <c r="E41" i="5"/>
  <c r="E39" i="5"/>
  <c r="E37" i="5"/>
  <c r="E35" i="5"/>
  <c r="E33" i="5"/>
  <c r="E40" i="5"/>
  <c r="H40" i="5" s="1"/>
  <c r="E38" i="5"/>
  <c r="E36" i="5"/>
  <c r="E34" i="5"/>
  <c r="O20" i="5"/>
  <c r="O22" i="5"/>
  <c r="O24" i="5"/>
  <c r="O21" i="5"/>
  <c r="O23" i="5"/>
  <c r="K9" i="1"/>
  <c r="M33" i="1" s="1"/>
  <c r="M35" i="1" s="1"/>
  <c r="M37" i="1" s="1"/>
  <c r="M39" i="1" s="1"/>
  <c r="K10" i="1"/>
  <c r="K11" i="1"/>
  <c r="K12" i="1"/>
  <c r="K13" i="1"/>
  <c r="K14" i="1"/>
  <c r="K15" i="1"/>
  <c r="K16" i="1"/>
  <c r="K17" i="1"/>
  <c r="K18" i="1"/>
  <c r="M24" i="1"/>
  <c r="O24" i="1"/>
  <c r="I34" i="5" l="1"/>
  <c r="G34" i="5"/>
  <c r="I38" i="5"/>
  <c r="G38" i="5"/>
  <c r="I33" i="5"/>
  <c r="H33" i="5"/>
  <c r="G33" i="5"/>
  <c r="I37" i="5"/>
  <c r="H37" i="5"/>
  <c r="G37" i="5"/>
  <c r="I41" i="5"/>
  <c r="H41" i="5"/>
  <c r="G41" i="5"/>
  <c r="I32" i="5"/>
  <c r="G32" i="5"/>
  <c r="E42" i="5"/>
  <c r="H34" i="5"/>
  <c r="I36" i="5"/>
  <c r="G36" i="5"/>
  <c r="I40" i="5"/>
  <c r="G40" i="5"/>
  <c r="I35" i="5"/>
  <c r="H35" i="5"/>
  <c r="G35" i="5"/>
  <c r="I39" i="5"/>
  <c r="H39" i="5"/>
  <c r="G39" i="5"/>
  <c r="H32" i="5"/>
  <c r="H36" i="5"/>
  <c r="H38" i="5"/>
  <c r="N10" i="1"/>
  <c r="N11" i="1"/>
  <c r="N12" i="1"/>
  <c r="N13" i="1"/>
  <c r="N14" i="1"/>
  <c r="N15" i="1"/>
  <c r="N16" i="1"/>
  <c r="N17" i="1"/>
  <c r="N18" i="1"/>
  <c r="N9" i="1"/>
  <c r="M25" i="1"/>
  <c r="O25" i="1"/>
  <c r="M23" i="1"/>
  <c r="O23" i="1"/>
  <c r="O35" i="1" s="1"/>
  <c r="O37" i="1" s="1"/>
  <c r="O39" i="1" s="1"/>
  <c r="M22" i="1"/>
  <c r="O22" i="1"/>
  <c r="M21" i="1"/>
  <c r="O21" i="1"/>
  <c r="M20" i="1"/>
  <c r="O20" i="1"/>
  <c r="H42" i="5" l="1"/>
  <c r="E62" i="5" s="1"/>
  <c r="K62" i="5" s="1"/>
  <c r="I42" i="5"/>
  <c r="E63" i="5" s="1"/>
  <c r="K63" i="5" s="1"/>
  <c r="G42" i="5"/>
  <c r="E61" i="5" s="1"/>
  <c r="K61" i="5" s="1"/>
  <c r="N25" i="1"/>
  <c r="N24" i="1"/>
  <c r="N23" i="1"/>
  <c r="N33" i="1" s="1"/>
  <c r="N35" i="1" s="1"/>
  <c r="N37" i="1" s="1"/>
  <c r="N39" i="1" s="1"/>
  <c r="N21" i="1"/>
  <c r="N20" i="1"/>
  <c r="N22" i="1"/>
  <c r="N70" i="5" l="1"/>
  <c r="N72" i="5" s="1"/>
  <c r="N74" i="5" s="1"/>
  <c r="N76" i="5" s="1"/>
  <c r="P72" i="5"/>
  <c r="P74" i="5" s="1"/>
  <c r="P76" i="5" s="1"/>
  <c r="O70" i="5"/>
  <c r="O72" i="5" s="1"/>
  <c r="O74" i="5" s="1"/>
  <c r="O76" i="5" s="1"/>
</calcChain>
</file>

<file path=xl/sharedStrings.xml><?xml version="1.0" encoding="utf-8"?>
<sst xmlns="http://schemas.openxmlformats.org/spreadsheetml/2006/main" count="143" uniqueCount="82">
  <si>
    <t>Company</t>
  </si>
  <si>
    <t>Share price</t>
  </si>
  <si>
    <t>Share Outstanding</t>
  </si>
  <si>
    <t>S.No.</t>
  </si>
  <si>
    <t>Name</t>
  </si>
  <si>
    <t>CMP Rs.</t>
  </si>
  <si>
    <t>Mar Cap Rs.Cr. </t>
  </si>
  <si>
    <t>EV Rs.Cr.</t>
  </si>
  <si>
    <t>Sales Rs.Cr.</t>
  </si>
  <si>
    <t>JSW Steel</t>
  </si>
  <si>
    <t>Tata Steel</t>
  </si>
  <si>
    <t>Jindal Steel</t>
  </si>
  <si>
    <t>S A I L</t>
  </si>
  <si>
    <t>Jindal Stain.</t>
  </si>
  <si>
    <t>Sarda Energy</t>
  </si>
  <si>
    <t>NMDC Steel</t>
  </si>
  <si>
    <t>Jai Balaji Inds.</t>
  </si>
  <si>
    <t>Prakash Industri</t>
  </si>
  <si>
    <t>Mukand</t>
  </si>
  <si>
    <t>Prakash Industry</t>
  </si>
  <si>
    <t>Jai Balaji Industry</t>
  </si>
  <si>
    <t>Enterprise Value</t>
  </si>
  <si>
    <t>Sales</t>
  </si>
  <si>
    <t>EV/EBITDA</t>
  </si>
  <si>
    <t>Debt</t>
  </si>
  <si>
    <t>Net profit</t>
  </si>
  <si>
    <t>Market Data of Peers</t>
  </si>
  <si>
    <t>Multiples</t>
  </si>
  <si>
    <t>EV/Sales</t>
  </si>
  <si>
    <t>Price/BV</t>
  </si>
  <si>
    <t xml:space="preserve">Average </t>
  </si>
  <si>
    <t>High</t>
  </si>
  <si>
    <t>75th Percnetile</t>
  </si>
  <si>
    <t>Median</t>
  </si>
  <si>
    <t>Low</t>
  </si>
  <si>
    <t>Relative Valuation of JSw steel</t>
  </si>
  <si>
    <t>Eq Cap Rs.Cr.</t>
  </si>
  <si>
    <t>Reserves Rs.Cr.</t>
  </si>
  <si>
    <t>Share Capital</t>
  </si>
  <si>
    <t>Implied Enterprise Value</t>
  </si>
  <si>
    <t>Net Debt</t>
  </si>
  <si>
    <t>Implied Market Value Of Equity</t>
  </si>
  <si>
    <t>Implied Value Of Share</t>
  </si>
  <si>
    <t>25th Percentile</t>
  </si>
  <si>
    <t>ebitda</t>
  </si>
  <si>
    <t>EBITDA</t>
  </si>
  <si>
    <t>Particulars</t>
  </si>
  <si>
    <t>amount in crores</t>
  </si>
  <si>
    <t>Key insghts</t>
  </si>
  <si>
    <t>JSW ltd multiples are higher than its peers average multiples implies that JSW ltd  is on an  average higher than its peers</t>
  </si>
  <si>
    <t>Based on all three multipels (EV/Sales, EV/EBITDA, P/BV) we can say that JSW ltd is overvalued</t>
  </si>
  <si>
    <t>Assigned weight to peers</t>
  </si>
  <si>
    <t>Weights</t>
  </si>
  <si>
    <t>Qualitative Driver Scorecard (JSW steel V/S Peers)</t>
  </si>
  <si>
    <t>Key Valuation Driver</t>
  </si>
  <si>
    <t>1   Brand Equity</t>
  </si>
  <si>
    <t>5    Product Range</t>
  </si>
  <si>
    <t>Net Score</t>
  </si>
  <si>
    <t>Score</t>
  </si>
  <si>
    <t>Rational</t>
  </si>
  <si>
    <t>2   Operating Efficiency</t>
  </si>
  <si>
    <t>3   Growht Potential</t>
  </si>
  <si>
    <t>4  Financial  Risk/Defensiveness</t>
  </si>
  <si>
    <t>One of the largest steel producer in India</t>
  </si>
  <si>
    <t>competitive cost structure</t>
  </si>
  <si>
    <t>Signification capacity expansion plan</t>
  </si>
  <si>
    <t>High debt compare to peers</t>
  </si>
  <si>
    <t>Ratio-specific &amp; Target Multiple Calculation</t>
  </si>
  <si>
    <t>Ratio Type</t>
  </si>
  <si>
    <t>Permited variance per poitn (B)</t>
  </si>
  <si>
    <t>Weighted Avg. of Multiples (A)</t>
  </si>
  <si>
    <t>JSW steel Qualitative score (C)</t>
  </si>
  <si>
    <t>Total premium %(D=B*C)</t>
  </si>
  <si>
    <t>Final Aduj. Factor (E=1*D)</t>
  </si>
  <si>
    <t>Adju. Multiple (F=A*E)</t>
  </si>
  <si>
    <t>Market Cap</t>
  </si>
  <si>
    <t>Weghted Average of multipules</t>
  </si>
  <si>
    <r>
      <t xml:space="preserve">Comparable Company Analysis - JSW Steel </t>
    </r>
    <r>
      <rPr>
        <b/>
        <u/>
        <sz val="22"/>
        <color rgb="FFFF0000"/>
        <rFont val="Calibri"/>
        <family val="2"/>
      </rPr>
      <t>(Method-1)</t>
    </r>
  </si>
  <si>
    <r>
      <t xml:space="preserve">Comparable Company Analysis - JSW Steel </t>
    </r>
    <r>
      <rPr>
        <b/>
        <u/>
        <sz val="22"/>
        <color rgb="FFFF0000"/>
        <rFont val="Calibri"/>
        <family val="2"/>
      </rPr>
      <t>(Method-2)</t>
    </r>
  </si>
  <si>
    <t>Based on Relative Valuation (method-2) average implied value of JSW ltd is 1185 less than its current market price</t>
  </si>
  <si>
    <t>Average implied value of JSW ltd is 931 less than its current market price 1304</t>
  </si>
  <si>
    <t>presence across flat, long and coated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</si>
</sst>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General&quot;x&quot;"/>
    <numFmt numFmtId="166" formatCode="0.00&quot;x&quot;"/>
    <numFmt numFmtId="167" formatCode="0.0%"/>
  </numFmts>
  <fonts count="19" x14ac:knownFonts="1">
    <font>
      <sz val="11"/>
      <color theme="1"/>
      <name val="Calibri"/>
      <family val="2"/>
    </font>
    <font>
      <sz val="11"/>
      <color theme="0"/>
      <name val="Calibri"/>
      <family val="2"/>
    </font>
    <font>
      <b/>
      <i/>
      <u/>
      <sz val="22"/>
      <color theme="1"/>
      <name val="Calibri"/>
      <family val="2"/>
    </font>
    <font>
      <sz val="22"/>
      <color theme="1"/>
      <name val="Calibri"/>
      <family val="2"/>
    </font>
    <font>
      <b/>
      <sz val="12"/>
      <color theme="0"/>
      <name val="Calibri"/>
      <family val="2"/>
    </font>
    <font>
      <b/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u/>
      <sz val="11"/>
      <color theme="2" tint="-0.249977111117893"/>
      <name val="Calibri"/>
      <family val="2"/>
    </font>
    <font>
      <b/>
      <sz val="16"/>
      <color theme="1"/>
      <name val="Comic Sans MS"/>
      <family val="4"/>
    </font>
    <font>
      <sz val="11"/>
      <color rgb="FF002060"/>
      <name val="Calibri"/>
      <family val="2"/>
    </font>
    <font>
      <sz val="11"/>
      <color theme="1"/>
      <name val="Calibri"/>
      <family val="2"/>
    </font>
    <font>
      <b/>
      <sz val="13"/>
      <color theme="1"/>
      <name val="Calibri"/>
      <family val="2"/>
    </font>
    <font>
      <b/>
      <u/>
      <sz val="22"/>
      <color rgb="FFFF0000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omic Sans MS"/>
      <family val="4"/>
    </font>
    <font>
      <sz val="13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2" borderId="0" xfId="0" applyNumberFormat="1" applyFont="1" applyFill="1" applyBorder="1" applyAlignment="1"/>
    <xf numFmtId="0" fontId="4" fillId="2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3" borderId="1" xfId="0" applyFill="1" applyBorder="1"/>
    <xf numFmtId="0" fontId="5" fillId="3" borderId="1" xfId="0" applyFont="1" applyFill="1" applyBorder="1"/>
    <xf numFmtId="0" fontId="0" fillId="0" borderId="2" xfId="0" applyBorder="1"/>
    <xf numFmtId="165" fontId="0" fillId="0" borderId="0" xfId="0" applyNumberFormat="1"/>
    <xf numFmtId="166" fontId="0" fillId="0" borderId="0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5" borderId="0" xfId="0" applyFill="1"/>
    <xf numFmtId="2" fontId="0" fillId="5" borderId="0" xfId="0" applyNumberFormat="1" applyFill="1"/>
    <xf numFmtId="164" fontId="0" fillId="5" borderId="0" xfId="0" applyNumberFormat="1" applyFill="1"/>
    <xf numFmtId="166" fontId="0" fillId="5" borderId="0" xfId="0" applyNumberFormat="1" applyFill="1" applyBorder="1" applyAlignment="1">
      <alignment horizontal="center"/>
    </xf>
    <xf numFmtId="0" fontId="0" fillId="0" borderId="2" xfId="0" applyNumberFormat="1" applyBorder="1"/>
    <xf numFmtId="0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6" fillId="2" borderId="3" xfId="0" applyFont="1" applyFill="1" applyBorder="1"/>
    <xf numFmtId="0" fontId="7" fillId="0" borderId="4" xfId="0" applyFont="1" applyBorder="1"/>
    <xf numFmtId="0" fontId="8" fillId="6" borderId="0" xfId="0" applyFont="1" applyFill="1"/>
    <xf numFmtId="0" fontId="5" fillId="3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7" borderId="0" xfId="0" applyFill="1"/>
    <xf numFmtId="0" fontId="0" fillId="4" borderId="0" xfId="0" applyFill="1"/>
    <xf numFmtId="0" fontId="7" fillId="5" borderId="0" xfId="0" applyFont="1" applyFill="1"/>
    <xf numFmtId="2" fontId="7" fillId="5" borderId="0" xfId="0" applyNumberFormat="1" applyFont="1" applyFill="1"/>
    <xf numFmtId="164" fontId="7" fillId="5" borderId="0" xfId="0" applyNumberFormat="1" applyFont="1" applyFill="1"/>
    <xf numFmtId="166" fontId="7" fillId="5" borderId="0" xfId="0" applyNumberFormat="1" applyFont="1" applyFill="1" applyBorder="1" applyAlignment="1">
      <alignment horizontal="center"/>
    </xf>
    <xf numFmtId="2" fontId="7" fillId="0" borderId="4" xfId="0" applyNumberFormat="1" applyFont="1" applyBorder="1"/>
    <xf numFmtId="2" fontId="11" fillId="0" borderId="0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0" fontId="4" fillId="8" borderId="0" xfId="0" applyNumberFormat="1" applyFont="1" applyFill="1" applyBorder="1" applyAlignment="1"/>
    <xf numFmtId="0" fontId="4" fillId="2" borderId="0" xfId="0" applyNumberFormat="1" applyFont="1" applyFill="1" applyBorder="1" applyAlignment="1">
      <alignment horizontal="center"/>
    </xf>
    <xf numFmtId="0" fontId="4" fillId="8" borderId="0" xfId="0" applyNumberFormat="1" applyFon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2" fontId="0" fillId="8" borderId="0" xfId="0" applyNumberFormat="1" applyFill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0" fillId="0" borderId="0" xfId="0" applyNumberFormat="1" applyBorder="1"/>
    <xf numFmtId="2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center"/>
    </xf>
    <xf numFmtId="0" fontId="7" fillId="0" borderId="4" xfId="0" applyFont="1" applyBorder="1" applyAlignment="1">
      <alignment horizontal="center"/>
    </xf>
    <xf numFmtId="9" fontId="7" fillId="0" borderId="4" xfId="1" applyFont="1" applyBorder="1" applyAlignment="1">
      <alignment horizontal="center"/>
    </xf>
    <xf numFmtId="2" fontId="7" fillId="8" borderId="4" xfId="0" applyNumberFormat="1" applyFont="1" applyFill="1" applyBorder="1" applyAlignment="1">
      <alignment horizontal="center"/>
    </xf>
    <xf numFmtId="167" fontId="0" fillId="0" borderId="0" xfId="1" applyNumberFormat="1" applyFont="1" applyAlignment="1">
      <alignment horizontal="center"/>
    </xf>
    <xf numFmtId="9" fontId="0" fillId="0" borderId="0" xfId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0" borderId="0" xfId="0" applyFont="1"/>
    <xf numFmtId="0" fontId="4" fillId="8" borderId="0" xfId="0" applyNumberFormat="1" applyFont="1" applyFill="1" applyBorder="1" applyAlignment="1">
      <alignment horizontal="center" wrapText="1"/>
    </xf>
    <xf numFmtId="0" fontId="5" fillId="8" borderId="0" xfId="0" applyFont="1" applyFill="1" applyBorder="1" applyAlignment="1"/>
    <xf numFmtId="0" fontId="0" fillId="8" borderId="0" xfId="0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8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9C93-DCEE-420F-8B83-BA975B55E60F}">
  <dimension ref="B2:O46"/>
  <sheetViews>
    <sheetView showGridLines="0" zoomScale="85" zoomScaleNormal="85" workbookViewId="0">
      <selection activeCell="K9" sqref="K9:K18"/>
    </sheetView>
  </sheetViews>
  <sheetFormatPr defaultRowHeight="15" x14ac:dyDescent="0.25"/>
  <cols>
    <col min="1" max="1" width="1.85546875" customWidth="1"/>
    <col min="2" max="2" width="29.5703125" customWidth="1"/>
    <col min="3" max="3" width="1.42578125" customWidth="1"/>
    <col min="4" max="4" width="13.140625" customWidth="1"/>
    <col min="5" max="5" width="13.5703125" customWidth="1"/>
    <col min="6" max="6" width="13" customWidth="1"/>
    <col min="7" max="7" width="10.7109375" customWidth="1"/>
    <col min="8" max="9" width="10" customWidth="1"/>
    <col min="10" max="10" width="10.28515625" customWidth="1"/>
    <col min="11" max="11" width="10" customWidth="1"/>
    <col min="12" max="12" width="5.85546875" customWidth="1"/>
    <col min="13" max="13" width="11.5703125" customWidth="1"/>
    <col min="14" max="14" width="11.28515625" customWidth="1"/>
    <col min="15" max="15" width="11" customWidth="1"/>
    <col min="16" max="16" width="1.5703125" customWidth="1"/>
  </cols>
  <sheetData>
    <row r="2" spans="2:15" ht="27" customHeight="1" x14ac:dyDescent="0.45">
      <c r="B2" s="1" t="s">
        <v>77</v>
      </c>
      <c r="C2" s="2"/>
      <c r="D2" s="2"/>
      <c r="E2" s="2"/>
    </row>
    <row r="4" spans="2:15" ht="15.75" customHeight="1" thickBot="1" x14ac:dyDescent="0.3">
      <c r="B4" s="23" t="s">
        <v>47</v>
      </c>
    </row>
    <row r="5" spans="2:15" ht="24.75" customHeight="1" x14ac:dyDescent="0.3">
      <c r="B5" s="10"/>
      <c r="C5" s="10"/>
      <c r="D5" s="68" t="s">
        <v>26</v>
      </c>
      <c r="E5" s="68"/>
      <c r="F5" s="68"/>
      <c r="G5" s="68"/>
      <c r="H5" s="68"/>
      <c r="I5" s="68"/>
      <c r="J5" s="68"/>
      <c r="K5" s="28"/>
      <c r="L5" s="11"/>
      <c r="M5" s="68" t="s">
        <v>27</v>
      </c>
      <c r="N5" s="68"/>
      <c r="O5" s="68"/>
    </row>
    <row r="6" spans="2:15" ht="6.75" customHeight="1" x14ac:dyDescent="0.25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2:15" ht="33" customHeight="1" x14ac:dyDescent="0.25">
      <c r="B7" s="4" t="s">
        <v>0</v>
      </c>
      <c r="C7" s="5"/>
      <c r="D7" s="6" t="s">
        <v>1</v>
      </c>
      <c r="E7" s="6" t="s">
        <v>2</v>
      </c>
      <c r="F7" s="6" t="s">
        <v>21</v>
      </c>
      <c r="G7" s="6" t="s">
        <v>22</v>
      </c>
      <c r="H7" s="6" t="s">
        <v>24</v>
      </c>
      <c r="I7" s="6" t="s">
        <v>38</v>
      </c>
      <c r="J7" s="6" t="s">
        <v>25</v>
      </c>
      <c r="K7" s="6" t="s">
        <v>45</v>
      </c>
      <c r="L7" s="7"/>
      <c r="M7" s="6" t="s">
        <v>23</v>
      </c>
      <c r="N7" s="6" t="s">
        <v>28</v>
      </c>
      <c r="O7" s="6" t="s">
        <v>29</v>
      </c>
    </row>
    <row r="8" spans="2:15" x14ac:dyDescent="0.25">
      <c r="B8" s="8"/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2:15" x14ac:dyDescent="0.25">
      <c r="B9" s="8" t="s">
        <v>9</v>
      </c>
      <c r="C9" s="8"/>
      <c r="D9" s="37">
        <v>1301.0999999999999</v>
      </c>
      <c r="E9" s="37">
        <v>244.69449696410732</v>
      </c>
      <c r="F9" s="37">
        <v>376693.01</v>
      </c>
      <c r="G9" s="37">
        <v>185470</v>
      </c>
      <c r="H9" s="37">
        <v>99310</v>
      </c>
      <c r="I9" s="37">
        <v>100053</v>
      </c>
      <c r="J9" s="37">
        <v>25508</v>
      </c>
      <c r="K9" s="29">
        <f>Sheet1!F9/Sheet1!M9</f>
        <v>30600.569455727051</v>
      </c>
      <c r="L9" s="9"/>
      <c r="M9" s="14">
        <v>12.31</v>
      </c>
      <c r="N9" s="14">
        <f>F9/G9</f>
        <v>2.0310185474739852</v>
      </c>
      <c r="O9" s="14">
        <v>3.18</v>
      </c>
    </row>
    <row r="10" spans="2:15" x14ac:dyDescent="0.25">
      <c r="B10" s="8" t="s">
        <v>10</v>
      </c>
      <c r="C10" s="8"/>
      <c r="D10" s="37">
        <v>210.57</v>
      </c>
      <c r="E10" s="37">
        <v>1248.8831742413449</v>
      </c>
      <c r="F10" s="37">
        <v>345301.48</v>
      </c>
      <c r="G10" s="37">
        <v>232139.94</v>
      </c>
      <c r="H10" s="37">
        <v>92381.68</v>
      </c>
      <c r="I10" s="37">
        <v>102167.65000000001</v>
      </c>
      <c r="J10" s="37">
        <v>10885.82</v>
      </c>
      <c r="K10" s="29">
        <f>Sheet1!F10/Sheet1!M10</f>
        <v>36119.401673640161</v>
      </c>
      <c r="L10" s="9"/>
      <c r="M10" s="14">
        <v>9.56</v>
      </c>
      <c r="N10" s="14">
        <f t="shared" ref="N10:N18" si="0">F10/G10</f>
        <v>1.4874712210229741</v>
      </c>
      <c r="O10" s="14">
        <v>2.57</v>
      </c>
    </row>
    <row r="11" spans="2:15" x14ac:dyDescent="0.25">
      <c r="B11" s="8" t="s">
        <v>11</v>
      </c>
      <c r="C11" s="8"/>
      <c r="D11" s="37">
        <v>1197.2</v>
      </c>
      <c r="E11" s="37">
        <v>102.0003842298697</v>
      </c>
      <c r="F11" s="37">
        <v>140582.81</v>
      </c>
      <c r="G11" s="37">
        <v>53224.92</v>
      </c>
      <c r="H11" s="37">
        <v>22609.55</v>
      </c>
      <c r="I11" s="37">
        <v>50898.91</v>
      </c>
      <c r="J11" s="37">
        <v>3360.87</v>
      </c>
      <c r="K11" s="29">
        <f>Sheet1!F11/Sheet1!M11</f>
        <v>9970.4120567375885</v>
      </c>
      <c r="L11" s="9"/>
      <c r="M11" s="14">
        <v>14.1</v>
      </c>
      <c r="N11" s="14">
        <f t="shared" si="0"/>
        <v>2.6412967835367342</v>
      </c>
      <c r="O11" s="14">
        <v>2.4</v>
      </c>
    </row>
    <row r="12" spans="2:15" x14ac:dyDescent="0.25">
      <c r="B12" s="8" t="s">
        <v>12</v>
      </c>
      <c r="C12" s="8"/>
      <c r="D12" s="37">
        <v>197.31</v>
      </c>
      <c r="E12" s="37">
        <v>413.19441488013786</v>
      </c>
      <c r="F12" s="37">
        <v>112722.59</v>
      </c>
      <c r="G12" s="37">
        <v>110810.84</v>
      </c>
      <c r="H12" s="37">
        <v>31927.71</v>
      </c>
      <c r="I12" s="37">
        <v>60355.88</v>
      </c>
      <c r="J12" s="37">
        <v>3372.8</v>
      </c>
      <c r="K12" s="29">
        <f>Sheet1!F12/Sheet1!M12</f>
        <v>13324.183215130022</v>
      </c>
      <c r="L12" s="9"/>
      <c r="M12" s="14">
        <v>8.4600000000000009</v>
      </c>
      <c r="N12" s="14">
        <f t="shared" si="0"/>
        <v>1.0172523735042529</v>
      </c>
      <c r="O12" s="14">
        <v>1.35</v>
      </c>
    </row>
    <row r="13" spans="2:15" x14ac:dyDescent="0.25">
      <c r="B13" s="8" t="s">
        <v>13</v>
      </c>
      <c r="C13" s="8"/>
      <c r="D13" s="37">
        <v>696.75</v>
      </c>
      <c r="E13" s="37">
        <v>82.399641191245067</v>
      </c>
      <c r="F13" s="37">
        <v>61938.25</v>
      </c>
      <c r="G13" s="37">
        <v>42954.66</v>
      </c>
      <c r="H13" s="37">
        <v>7460.33</v>
      </c>
      <c r="I13" s="37">
        <v>19791.280000000002</v>
      </c>
      <c r="J13" s="37">
        <v>3184.57</v>
      </c>
      <c r="K13" s="29">
        <f>Sheet1!F13/Sheet1!M13</f>
        <v>5927.105263157895</v>
      </c>
      <c r="L13" s="9"/>
      <c r="M13" s="14">
        <v>10.45</v>
      </c>
      <c r="N13" s="14">
        <f t="shared" si="0"/>
        <v>1.4419448320624584</v>
      </c>
      <c r="O13" s="14">
        <v>2.9</v>
      </c>
    </row>
    <row r="14" spans="2:15" x14ac:dyDescent="0.25">
      <c r="B14" s="8" t="s">
        <v>14</v>
      </c>
      <c r="C14" s="8"/>
      <c r="D14" s="37">
        <v>532.20000000000005</v>
      </c>
      <c r="E14" s="37">
        <v>35.268602029312284</v>
      </c>
      <c r="F14" s="37">
        <v>20537.38</v>
      </c>
      <c r="G14" s="37">
        <v>5690.45</v>
      </c>
      <c r="H14" s="37">
        <v>2631.92</v>
      </c>
      <c r="I14" s="37">
        <v>7370</v>
      </c>
      <c r="J14" s="37">
        <v>1109.44</v>
      </c>
      <c r="K14" s="29">
        <f>Sheet1!F14/Sheet1!M14</f>
        <v>2025.3826429980277</v>
      </c>
      <c r="L14" s="9"/>
      <c r="M14" s="14">
        <v>10.14</v>
      </c>
      <c r="N14" s="14">
        <f t="shared" si="0"/>
        <v>3.609095941445756</v>
      </c>
      <c r="O14" s="14">
        <v>2.54</v>
      </c>
    </row>
    <row r="15" spans="2:15" x14ac:dyDescent="0.25">
      <c r="B15" s="8" t="s">
        <v>15</v>
      </c>
      <c r="C15" s="8"/>
      <c r="D15" s="37">
        <v>50.72</v>
      </c>
      <c r="E15" s="37">
        <v>293.06072555205049</v>
      </c>
      <c r="F15" s="37">
        <v>18677.240000000002</v>
      </c>
      <c r="G15" s="37">
        <v>13641.81</v>
      </c>
      <c r="H15" s="37">
        <v>4613.18</v>
      </c>
      <c r="I15" s="37">
        <v>13173.2</v>
      </c>
      <c r="J15" s="37">
        <v>58.72</v>
      </c>
      <c r="K15" s="29">
        <f>Sheet1!F15/Sheet1!M15</f>
        <v>1604.5738831615122</v>
      </c>
      <c r="L15" s="9"/>
      <c r="M15" s="14">
        <v>11.64</v>
      </c>
      <c r="N15" s="14">
        <f t="shared" si="0"/>
        <v>1.3691174411606672</v>
      </c>
      <c r="O15" s="14">
        <v>1.1299999999999999</v>
      </c>
    </row>
    <row r="16" spans="2:15" x14ac:dyDescent="0.25">
      <c r="B16" s="8" t="s">
        <v>20</v>
      </c>
      <c r="C16" s="8"/>
      <c r="D16" s="37">
        <v>70.37</v>
      </c>
      <c r="E16" s="37">
        <v>90.46767088247833</v>
      </c>
      <c r="F16" s="37">
        <v>6722.5</v>
      </c>
      <c r="G16" s="37">
        <v>5784.27</v>
      </c>
      <c r="H16" s="37">
        <v>416.63</v>
      </c>
      <c r="I16" s="37">
        <v>2257.56</v>
      </c>
      <c r="J16" s="37">
        <v>129.94999999999999</v>
      </c>
      <c r="K16" s="29">
        <f>Sheet1!F16/Sheet1!M16</f>
        <v>385.90700344431684</v>
      </c>
      <c r="L16" s="9"/>
      <c r="M16" s="14">
        <v>17.420000000000002</v>
      </c>
      <c r="N16" s="14">
        <f t="shared" si="0"/>
        <v>1.16220370072628</v>
      </c>
      <c r="O16" s="14">
        <v>2.84</v>
      </c>
    </row>
    <row r="17" spans="2:15" x14ac:dyDescent="0.25">
      <c r="B17" s="8" t="s">
        <v>19</v>
      </c>
      <c r="C17" s="8"/>
      <c r="D17" s="37">
        <v>146.38999999999999</v>
      </c>
      <c r="E17" s="37">
        <v>17.871439305963523</v>
      </c>
      <c r="F17" s="37">
        <v>2936.14</v>
      </c>
      <c r="G17" s="37">
        <v>3478.66</v>
      </c>
      <c r="H17" s="37">
        <v>515.4</v>
      </c>
      <c r="I17" s="37">
        <v>3588.37</v>
      </c>
      <c r="J17" s="37">
        <v>333.14</v>
      </c>
      <c r="K17" s="29">
        <f>Sheet1!F17/Sheet1!M17</f>
        <v>542.72458410351203</v>
      </c>
      <c r="L17" s="9"/>
      <c r="M17" s="14">
        <v>5.41</v>
      </c>
      <c r="N17" s="14">
        <f t="shared" si="0"/>
        <v>0.84404339602030665</v>
      </c>
      <c r="O17" s="14">
        <v>0.73</v>
      </c>
    </row>
    <row r="18" spans="2:15" ht="15.75" thickBot="1" x14ac:dyDescent="0.3">
      <c r="B18" s="12" t="s">
        <v>18</v>
      </c>
      <c r="C18" s="20"/>
      <c r="D18" s="38">
        <v>139.66999999999999</v>
      </c>
      <c r="E18" s="38">
        <v>14.453712321901627</v>
      </c>
      <c r="F18" s="38">
        <v>3695.6</v>
      </c>
      <c r="G18" s="38">
        <v>4889.83</v>
      </c>
      <c r="H18" s="38">
        <v>1696.71</v>
      </c>
      <c r="I18" s="38">
        <v>1522.33</v>
      </c>
      <c r="J18" s="38">
        <v>604.1</v>
      </c>
      <c r="K18" s="15">
        <f>Sheet1!F18/Sheet1!M18</f>
        <v>724.62745098039215</v>
      </c>
      <c r="L18" s="21"/>
      <c r="M18" s="22">
        <v>5.0999999999999996</v>
      </c>
      <c r="N18" s="22">
        <f t="shared" si="0"/>
        <v>0.75577269557428373</v>
      </c>
      <c r="O18" s="22">
        <v>1.33</v>
      </c>
    </row>
    <row r="19" spans="2:15" ht="6" customHeight="1" x14ac:dyDescent="0.25">
      <c r="M19" s="13"/>
      <c r="N19" s="9"/>
      <c r="O19" s="13"/>
    </row>
    <row r="20" spans="2:15" x14ac:dyDescent="0.25">
      <c r="B20" s="32" t="s">
        <v>30</v>
      </c>
      <c r="C20" s="32"/>
      <c r="D20" s="33"/>
      <c r="E20" s="33"/>
      <c r="F20" s="33"/>
      <c r="G20" s="33"/>
      <c r="H20" s="33"/>
      <c r="I20" s="33"/>
      <c r="J20" s="33"/>
      <c r="K20" s="33"/>
      <c r="L20" s="34"/>
      <c r="M20" s="35">
        <f>AVERAGE(M9:M18)</f>
        <v>10.459</v>
      </c>
      <c r="N20" s="35">
        <f>AVERAGE(N9:N18)</f>
        <v>1.6359216932527698</v>
      </c>
      <c r="O20" s="35">
        <f>AVERAGE(O9:O18)</f>
        <v>2.097</v>
      </c>
    </row>
    <row r="21" spans="2:15" x14ac:dyDescent="0.25">
      <c r="B21" s="16" t="s">
        <v>31</v>
      </c>
      <c r="C21" s="16"/>
      <c r="D21" s="17"/>
      <c r="E21" s="17"/>
      <c r="F21" s="17"/>
      <c r="G21" s="17"/>
      <c r="H21" s="17"/>
      <c r="I21" s="17"/>
      <c r="J21" s="17"/>
      <c r="K21" s="17"/>
      <c r="L21" s="18"/>
      <c r="M21" s="19">
        <f>MAX(M9:M18)</f>
        <v>17.420000000000002</v>
      </c>
      <c r="N21" s="19">
        <f>MAX(N9:N18)</f>
        <v>3.609095941445756</v>
      </c>
      <c r="O21" s="19">
        <f>MAX(O9:O18)</f>
        <v>3.18</v>
      </c>
    </row>
    <row r="22" spans="2:15" x14ac:dyDescent="0.25">
      <c r="B22" s="16" t="s">
        <v>32</v>
      </c>
      <c r="C22" s="16"/>
      <c r="D22" s="17"/>
      <c r="E22" s="17"/>
      <c r="F22" s="17"/>
      <c r="G22" s="17"/>
      <c r="H22" s="17"/>
      <c r="I22" s="17"/>
      <c r="J22" s="17"/>
      <c r="K22" s="17"/>
      <c r="L22" s="16"/>
      <c r="M22" s="19">
        <f>QUARTILE(M9:M18,3)</f>
        <v>12.1425</v>
      </c>
      <c r="N22" s="19">
        <f>QUARTILE(N9:N18,3)</f>
        <v>1.8951317158612324</v>
      </c>
      <c r="O22" s="19">
        <f>QUARTILE(O9:O18,3)</f>
        <v>2.7725</v>
      </c>
    </row>
    <row r="23" spans="2:15" x14ac:dyDescent="0.25">
      <c r="B23" s="32" t="s">
        <v>33</v>
      </c>
      <c r="C23" s="32"/>
      <c r="D23" s="33"/>
      <c r="E23" s="33"/>
      <c r="F23" s="33"/>
      <c r="G23" s="33"/>
      <c r="H23" s="33"/>
      <c r="I23" s="33"/>
      <c r="J23" s="33"/>
      <c r="K23" s="33"/>
      <c r="L23" s="32"/>
      <c r="M23" s="35">
        <f>QUARTILE(M9:M18,2)</f>
        <v>10.295</v>
      </c>
      <c r="N23" s="35">
        <f>QUARTILE(N9:N18,2)</f>
        <v>1.4055311366115628</v>
      </c>
      <c r="O23" s="35">
        <f>QUARTILE(O9:O18,2)</f>
        <v>2.4699999999999998</v>
      </c>
    </row>
    <row r="24" spans="2:15" x14ac:dyDescent="0.25">
      <c r="B24" s="16" t="s">
        <v>43</v>
      </c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9">
        <f>QUARTILE(M9:M18,1)</f>
        <v>8.7350000000000012</v>
      </c>
      <c r="N24" s="19">
        <f>QUARTILE(N9:N18,1)</f>
        <v>1.0534902053097597</v>
      </c>
      <c r="O24" s="19">
        <f>QUARTILE(O9:O18,1)</f>
        <v>1.335</v>
      </c>
    </row>
    <row r="25" spans="2:15" x14ac:dyDescent="0.25">
      <c r="B25" s="16" t="s">
        <v>34</v>
      </c>
      <c r="C25" s="16"/>
      <c r="D25" s="17"/>
      <c r="E25" s="17"/>
      <c r="F25" s="17"/>
      <c r="G25" s="17"/>
      <c r="H25" s="17"/>
      <c r="I25" s="17"/>
      <c r="J25" s="17"/>
      <c r="K25" s="17"/>
      <c r="L25" s="18"/>
      <c r="M25" s="19">
        <f>MIN(M9:M18)</f>
        <v>5.0999999999999996</v>
      </c>
      <c r="N25" s="19">
        <f>MIN(N9:N18)</f>
        <v>0.75577269557428373</v>
      </c>
      <c r="O25" s="19">
        <f>MIN(O9:O18)</f>
        <v>0.73</v>
      </c>
    </row>
    <row r="29" spans="2:15" ht="24.75" x14ac:dyDescent="0.5">
      <c r="B29" s="24" t="s">
        <v>35</v>
      </c>
      <c r="F29" s="3"/>
    </row>
    <row r="30" spans="2:15" ht="6" customHeight="1" x14ac:dyDescent="0.25"/>
    <row r="31" spans="2:15" x14ac:dyDescent="0.25">
      <c r="B31" s="25" t="s">
        <v>46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 t="str">
        <f>M7</f>
        <v>EV/EBITDA</v>
      </c>
      <c r="N31" s="25" t="str">
        <f>N7</f>
        <v>EV/Sales</v>
      </c>
      <c r="O31" s="25" t="str">
        <f>O7</f>
        <v>Price/BV</v>
      </c>
    </row>
    <row r="32" spans="2:15" ht="4.5" customHeight="1" x14ac:dyDescent="0.25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</row>
    <row r="33" spans="2:15" x14ac:dyDescent="0.25">
      <c r="B33" t="s">
        <v>39</v>
      </c>
      <c r="M33">
        <f>K9*M9</f>
        <v>376693.01</v>
      </c>
      <c r="N33">
        <f>N23*G9</f>
        <v>260683.85990734654</v>
      </c>
    </row>
    <row r="34" spans="2:15" x14ac:dyDescent="0.25">
      <c r="B34" t="s">
        <v>40</v>
      </c>
      <c r="M34" s="3">
        <f>H9</f>
        <v>99310</v>
      </c>
      <c r="N34" s="3">
        <f>M34</f>
        <v>99310</v>
      </c>
    </row>
    <row r="35" spans="2:15" x14ac:dyDescent="0.25">
      <c r="B35" t="s">
        <v>41</v>
      </c>
      <c r="M35" s="3">
        <f>M33-M34</f>
        <v>277383.01</v>
      </c>
      <c r="N35">
        <f>N33-N34</f>
        <v>161373.85990734654</v>
      </c>
      <c r="O35">
        <f>O23*I9</f>
        <v>247130.90999999997</v>
      </c>
    </row>
    <row r="36" spans="2:15" x14ac:dyDescent="0.25">
      <c r="B36" t="s">
        <v>2</v>
      </c>
      <c r="M36" s="3">
        <f>E9</f>
        <v>244.69449696410732</v>
      </c>
      <c r="N36" s="3">
        <f>M36</f>
        <v>244.69449696410732</v>
      </c>
      <c r="O36" s="3">
        <f>N36</f>
        <v>244.69449696410732</v>
      </c>
    </row>
    <row r="37" spans="2:15" x14ac:dyDescent="0.25">
      <c r="B37" s="26" t="s">
        <v>42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36">
        <f>M35/M36</f>
        <v>1133.5890812480657</v>
      </c>
      <c r="N37" s="36">
        <f t="shared" ref="N37:O37" si="1">N35/N36</f>
        <v>659.4911692313924</v>
      </c>
      <c r="O37" s="36">
        <f t="shared" si="1"/>
        <v>1009.9569588450943</v>
      </c>
    </row>
    <row r="39" spans="2:15" x14ac:dyDescent="0.25">
      <c r="M39" s="27" t="str">
        <f>IF($D$9&gt;M37,"OverValued","UnderValued")</f>
        <v>OverValued</v>
      </c>
      <c r="N39" s="27" t="str">
        <f t="shared" ref="N39:O39" si="2">IF($D$9&gt;N37,"OverValued","UnderValued")</f>
        <v>OverValued</v>
      </c>
      <c r="O39" s="27" t="str">
        <f t="shared" si="2"/>
        <v>OverValued</v>
      </c>
    </row>
    <row r="42" spans="2:15" ht="22.5" x14ac:dyDescent="0.45">
      <c r="B42" s="63" t="s">
        <v>48</v>
      </c>
    </row>
    <row r="43" spans="2:15" ht="7.5" customHeight="1" x14ac:dyDescent="0.25"/>
    <row r="44" spans="2:15" ht="15.75" x14ac:dyDescent="0.25">
      <c r="B44" s="61" t="s">
        <v>49</v>
      </c>
    </row>
    <row r="45" spans="2:15" ht="15.75" x14ac:dyDescent="0.25">
      <c r="B45" s="61" t="s">
        <v>50</v>
      </c>
    </row>
    <row r="46" spans="2:15" ht="15.75" x14ac:dyDescent="0.25">
      <c r="B46" s="61" t="s">
        <v>80</v>
      </c>
    </row>
  </sheetData>
  <mergeCells count="2">
    <mergeCell ref="M5:O5"/>
    <mergeCell ref="D5:J5"/>
  </mergeCells>
  <printOptions verticalCentered="1"/>
  <pageMargins left="0.39370078740157483" right="0.19685039370078741" top="0.11811023622047245" bottom="0.35433070866141736" header="0.31496062992125984" footer="0.31496062992125984"/>
  <pageSetup paperSize="12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ABDF-BA06-405F-9F0B-AB4C1616D85A}">
  <dimension ref="A2:Q83"/>
  <sheetViews>
    <sheetView showGridLines="0" tabSelected="1" topLeftCell="A27" zoomScale="85" zoomScaleNormal="85" workbookViewId="0">
      <selection activeCell="O39" sqref="O39"/>
    </sheetView>
  </sheetViews>
  <sheetFormatPr defaultRowHeight="15" x14ac:dyDescent="0.25"/>
  <cols>
    <col min="1" max="1" width="3.42578125" customWidth="1"/>
    <col min="2" max="2" width="25.5703125" customWidth="1"/>
    <col min="3" max="3" width="1.42578125" customWidth="1"/>
    <col min="4" max="4" width="12.5703125" customWidth="1"/>
    <col min="5" max="5" width="14.140625" customWidth="1"/>
    <col min="6" max="6" width="5" customWidth="1"/>
    <col min="7" max="7" width="13" customWidth="1"/>
    <col min="8" max="8" width="13.7109375" customWidth="1"/>
    <col min="9" max="9" width="13" customWidth="1"/>
    <col min="10" max="10" width="12.140625" customWidth="1"/>
    <col min="11" max="11" width="10.28515625" customWidth="1"/>
    <col min="12" max="12" width="11.85546875" customWidth="1"/>
    <col min="13" max="13" width="4.28515625" customWidth="1"/>
    <col min="14" max="14" width="11.5703125" customWidth="1"/>
    <col min="15" max="15" width="11.28515625" customWidth="1"/>
    <col min="16" max="16" width="11" customWidth="1"/>
    <col min="17" max="17" width="1.85546875" customWidth="1"/>
    <col min="18" max="18" width="15.5703125" customWidth="1"/>
    <col min="20" max="20" width="8" customWidth="1"/>
  </cols>
  <sheetData>
    <row r="2" spans="2:17" ht="27" customHeight="1" x14ac:dyDescent="0.45">
      <c r="B2" s="1" t="s">
        <v>78</v>
      </c>
      <c r="C2" s="2"/>
      <c r="D2" s="2"/>
      <c r="E2" s="2"/>
      <c r="F2" s="2"/>
    </row>
    <row r="4" spans="2:17" ht="15.75" customHeight="1" thickBot="1" x14ac:dyDescent="0.3">
      <c r="B4" s="23" t="s">
        <v>47</v>
      </c>
    </row>
    <row r="5" spans="2:17" ht="39" customHeight="1" x14ac:dyDescent="0.3">
      <c r="B5" s="10"/>
      <c r="C5" s="10"/>
      <c r="D5" s="68" t="s">
        <v>26</v>
      </c>
      <c r="E5" s="68"/>
      <c r="F5" s="68"/>
      <c r="G5" s="68"/>
      <c r="H5" s="68"/>
      <c r="I5" s="68"/>
      <c r="J5" s="68"/>
      <c r="K5" s="68"/>
      <c r="L5" s="68"/>
      <c r="M5" s="11"/>
      <c r="N5" s="68" t="s">
        <v>27</v>
      </c>
      <c r="O5" s="68"/>
      <c r="P5" s="68"/>
      <c r="Q5" s="66"/>
    </row>
    <row r="6" spans="2:17" ht="6.75" customHeight="1" x14ac:dyDescent="0.25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67"/>
    </row>
    <row r="7" spans="2:17" ht="33" customHeight="1" x14ac:dyDescent="0.25">
      <c r="B7" s="4" t="s">
        <v>0</v>
      </c>
      <c r="C7" s="5"/>
      <c r="D7" s="6" t="s">
        <v>1</v>
      </c>
      <c r="E7" s="6" t="s">
        <v>2</v>
      </c>
      <c r="F7" s="6"/>
      <c r="G7" s="6" t="s">
        <v>21</v>
      </c>
      <c r="H7" s="6" t="s">
        <v>22</v>
      </c>
      <c r="I7" s="6" t="s">
        <v>24</v>
      </c>
      <c r="J7" s="6" t="s">
        <v>38</v>
      </c>
      <c r="K7" s="6" t="s">
        <v>25</v>
      </c>
      <c r="L7" s="6" t="s">
        <v>45</v>
      </c>
      <c r="M7" s="7"/>
      <c r="N7" s="6" t="s">
        <v>23</v>
      </c>
      <c r="O7" s="6" t="s">
        <v>28</v>
      </c>
      <c r="P7" s="6" t="s">
        <v>29</v>
      </c>
      <c r="Q7" s="65"/>
    </row>
    <row r="8" spans="2:17" x14ac:dyDescent="0.25">
      <c r="B8" s="8"/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2:17" x14ac:dyDescent="0.25">
      <c r="B9" s="8" t="s">
        <v>9</v>
      </c>
      <c r="C9" s="8"/>
      <c r="D9" s="37">
        <v>1301.0999999999999</v>
      </c>
      <c r="E9" s="37">
        <v>244.69449696410732</v>
      </c>
      <c r="F9" s="37"/>
      <c r="G9" s="37">
        <v>376693.01</v>
      </c>
      <c r="H9" s="37">
        <v>185470</v>
      </c>
      <c r="I9" s="37">
        <v>99310</v>
      </c>
      <c r="J9" s="37">
        <v>100053</v>
      </c>
      <c r="K9" s="37">
        <v>25508</v>
      </c>
      <c r="L9" s="29">
        <f>SSEI!G9/SSEI!N9</f>
        <v>30600.569455727051</v>
      </c>
      <c r="M9" s="9"/>
      <c r="N9" s="14">
        <v>12.31</v>
      </c>
      <c r="O9" s="14">
        <f>G9/H9</f>
        <v>2.0310185474739852</v>
      </c>
      <c r="P9" s="14">
        <v>3.18</v>
      </c>
    </row>
    <row r="10" spans="2:17" x14ac:dyDescent="0.25">
      <c r="B10" s="8" t="s">
        <v>10</v>
      </c>
      <c r="C10" s="8"/>
      <c r="D10" s="37">
        <v>210.57</v>
      </c>
      <c r="E10" s="37">
        <v>1248.8831742413449</v>
      </c>
      <c r="F10" s="37"/>
      <c r="G10" s="37">
        <v>345301.48</v>
      </c>
      <c r="H10" s="37">
        <v>232139.94</v>
      </c>
      <c r="I10" s="37">
        <v>92381.68</v>
      </c>
      <c r="J10" s="37">
        <v>102167.65000000001</v>
      </c>
      <c r="K10" s="37">
        <v>10885.82</v>
      </c>
      <c r="L10" s="29">
        <f>SSEI!G10/SSEI!N10</f>
        <v>36119.401673640161</v>
      </c>
      <c r="M10" s="9"/>
      <c r="N10" s="14">
        <v>9.56</v>
      </c>
      <c r="O10" s="14">
        <f t="shared" ref="O10:O18" si="0">G10/H10</f>
        <v>1.4874712210229741</v>
      </c>
      <c r="P10" s="14">
        <v>2.57</v>
      </c>
    </row>
    <row r="11" spans="2:17" x14ac:dyDescent="0.25">
      <c r="B11" s="8" t="s">
        <v>11</v>
      </c>
      <c r="C11" s="8"/>
      <c r="D11" s="37">
        <v>1197.2</v>
      </c>
      <c r="E11" s="37">
        <v>102.0003842298697</v>
      </c>
      <c r="F11" s="37"/>
      <c r="G11" s="37">
        <v>140582.81</v>
      </c>
      <c r="H11" s="37">
        <v>53224.92</v>
      </c>
      <c r="I11" s="37">
        <v>22609.55</v>
      </c>
      <c r="J11" s="37">
        <v>50898.91</v>
      </c>
      <c r="K11" s="37">
        <v>3360.87</v>
      </c>
      <c r="L11" s="29">
        <f>SSEI!G11/SSEI!N11</f>
        <v>9970.4120567375885</v>
      </c>
      <c r="M11" s="9"/>
      <c r="N11" s="14">
        <v>14.1</v>
      </c>
      <c r="O11" s="14">
        <f t="shared" si="0"/>
        <v>2.6412967835367342</v>
      </c>
      <c r="P11" s="14">
        <v>2.4</v>
      </c>
    </row>
    <row r="12" spans="2:17" x14ac:dyDescent="0.25">
      <c r="B12" s="8" t="s">
        <v>12</v>
      </c>
      <c r="C12" s="8"/>
      <c r="D12" s="37">
        <v>197.31</v>
      </c>
      <c r="E12" s="37">
        <v>413.19441488013786</v>
      </c>
      <c r="F12" s="37"/>
      <c r="G12" s="37">
        <v>112722.59</v>
      </c>
      <c r="H12" s="37">
        <v>110810.84</v>
      </c>
      <c r="I12" s="37">
        <v>31927.71</v>
      </c>
      <c r="J12" s="37">
        <v>60355.88</v>
      </c>
      <c r="K12" s="37">
        <v>3372.8</v>
      </c>
      <c r="L12" s="29">
        <f>SSEI!G12/SSEI!N12</f>
        <v>13324.183215130022</v>
      </c>
      <c r="M12" s="9"/>
      <c r="N12" s="14">
        <v>8.4600000000000009</v>
      </c>
      <c r="O12" s="14">
        <f t="shared" si="0"/>
        <v>1.0172523735042529</v>
      </c>
      <c r="P12" s="14">
        <v>1.35</v>
      </c>
    </row>
    <row r="13" spans="2:17" x14ac:dyDescent="0.25">
      <c r="B13" s="8" t="s">
        <v>13</v>
      </c>
      <c r="C13" s="8"/>
      <c r="D13" s="37">
        <v>696.75</v>
      </c>
      <c r="E13" s="37">
        <v>82.399641191245067</v>
      </c>
      <c r="F13" s="37"/>
      <c r="G13" s="37">
        <v>61938.25</v>
      </c>
      <c r="H13" s="37">
        <v>42954.66</v>
      </c>
      <c r="I13" s="37">
        <v>7460.33</v>
      </c>
      <c r="J13" s="37">
        <v>19791.280000000002</v>
      </c>
      <c r="K13" s="37">
        <v>3184.57</v>
      </c>
      <c r="L13" s="29">
        <f>SSEI!G13/SSEI!N13</f>
        <v>5927.105263157895</v>
      </c>
      <c r="M13" s="9"/>
      <c r="N13" s="14">
        <v>10.45</v>
      </c>
      <c r="O13" s="14">
        <f t="shared" si="0"/>
        <v>1.4419448320624584</v>
      </c>
      <c r="P13" s="14">
        <v>2.9</v>
      </c>
    </row>
    <row r="14" spans="2:17" x14ac:dyDescent="0.25">
      <c r="B14" s="8" t="s">
        <v>14</v>
      </c>
      <c r="C14" s="8"/>
      <c r="D14" s="37">
        <v>532.20000000000005</v>
      </c>
      <c r="E14" s="37">
        <v>35.268602029312284</v>
      </c>
      <c r="F14" s="37"/>
      <c r="G14" s="37">
        <v>20537.38</v>
      </c>
      <c r="H14" s="37">
        <v>5690.45</v>
      </c>
      <c r="I14" s="37">
        <v>2631.92</v>
      </c>
      <c r="J14" s="37">
        <v>7370</v>
      </c>
      <c r="K14" s="37">
        <v>1109.44</v>
      </c>
      <c r="L14" s="29">
        <f>SSEI!G14/SSEI!N14</f>
        <v>2025.3826429980277</v>
      </c>
      <c r="M14" s="9"/>
      <c r="N14" s="14">
        <v>10.14</v>
      </c>
      <c r="O14" s="14">
        <f t="shared" si="0"/>
        <v>3.609095941445756</v>
      </c>
      <c r="P14" s="14">
        <v>2.54</v>
      </c>
    </row>
    <row r="15" spans="2:17" x14ac:dyDescent="0.25">
      <c r="B15" s="8" t="s">
        <v>15</v>
      </c>
      <c r="C15" s="8"/>
      <c r="D15" s="37">
        <v>50.72</v>
      </c>
      <c r="E15" s="37">
        <v>293.06072555205049</v>
      </c>
      <c r="F15" s="37"/>
      <c r="G15" s="37">
        <v>18677.240000000002</v>
      </c>
      <c r="H15" s="37">
        <v>13641.81</v>
      </c>
      <c r="I15" s="37">
        <v>4613.18</v>
      </c>
      <c r="J15" s="37">
        <v>13173.2</v>
      </c>
      <c r="K15" s="37">
        <v>58.72</v>
      </c>
      <c r="L15" s="29">
        <f>SSEI!G15/SSEI!N15</f>
        <v>1604.5738831615122</v>
      </c>
      <c r="M15" s="9"/>
      <c r="N15" s="14">
        <v>11.64</v>
      </c>
      <c r="O15" s="14">
        <f t="shared" si="0"/>
        <v>1.3691174411606672</v>
      </c>
      <c r="P15" s="14">
        <v>1.1299999999999999</v>
      </c>
    </row>
    <row r="16" spans="2:17" x14ac:dyDescent="0.25">
      <c r="B16" s="8" t="s">
        <v>20</v>
      </c>
      <c r="C16" s="8"/>
      <c r="D16" s="37">
        <v>70.37</v>
      </c>
      <c r="E16" s="37">
        <v>90.46767088247833</v>
      </c>
      <c r="F16" s="37"/>
      <c r="G16" s="37">
        <v>6722.5</v>
      </c>
      <c r="H16" s="37">
        <v>5784.27</v>
      </c>
      <c r="I16" s="37">
        <v>416.63</v>
      </c>
      <c r="J16" s="37">
        <v>2257.56</v>
      </c>
      <c r="K16" s="37">
        <v>129.94999999999999</v>
      </c>
      <c r="L16" s="29">
        <f>SSEI!G16/SSEI!N16</f>
        <v>385.90700344431684</v>
      </c>
      <c r="M16" s="9"/>
      <c r="N16" s="14">
        <v>17.420000000000002</v>
      </c>
      <c r="O16" s="14">
        <f t="shared" si="0"/>
        <v>1.16220370072628</v>
      </c>
      <c r="P16" s="14">
        <v>2.84</v>
      </c>
    </row>
    <row r="17" spans="2:16" x14ac:dyDescent="0.25">
      <c r="B17" s="8" t="s">
        <v>19</v>
      </c>
      <c r="C17" s="8"/>
      <c r="D17" s="37">
        <v>146.38999999999999</v>
      </c>
      <c r="E17" s="37">
        <v>17.871439305963523</v>
      </c>
      <c r="F17" s="37"/>
      <c r="G17" s="37">
        <v>2936.14</v>
      </c>
      <c r="H17" s="37">
        <v>3478.66</v>
      </c>
      <c r="I17" s="37">
        <v>515.4</v>
      </c>
      <c r="J17" s="37">
        <v>3588.37</v>
      </c>
      <c r="K17" s="37">
        <v>333.14</v>
      </c>
      <c r="L17" s="29">
        <f>SSEI!G17/SSEI!N17</f>
        <v>542.72458410351203</v>
      </c>
      <c r="M17" s="9"/>
      <c r="N17" s="14">
        <v>5.41</v>
      </c>
      <c r="O17" s="14">
        <f t="shared" si="0"/>
        <v>0.84404339602030665</v>
      </c>
      <c r="P17" s="14">
        <v>0.73</v>
      </c>
    </row>
    <row r="18" spans="2:16" x14ac:dyDescent="0.25">
      <c r="B18" s="8" t="s">
        <v>18</v>
      </c>
      <c r="C18" s="49"/>
      <c r="D18" s="37">
        <v>139.66999999999999</v>
      </c>
      <c r="E18" s="37">
        <v>14.453712321901627</v>
      </c>
      <c r="F18" s="37"/>
      <c r="G18" s="37">
        <v>3695.6</v>
      </c>
      <c r="H18" s="37">
        <v>4889.83</v>
      </c>
      <c r="I18" s="37">
        <v>1696.71</v>
      </c>
      <c r="J18" s="37">
        <v>1522.33</v>
      </c>
      <c r="K18" s="37">
        <v>604.1</v>
      </c>
      <c r="L18" s="50">
        <f>SSEI!G18/SSEI!N18</f>
        <v>724.62745098039215</v>
      </c>
      <c r="M18" s="51"/>
      <c r="N18" s="14">
        <v>5.0999999999999996</v>
      </c>
      <c r="O18" s="14">
        <f t="shared" si="0"/>
        <v>0.75577269557428373</v>
      </c>
      <c r="P18" s="14">
        <v>1.33</v>
      </c>
    </row>
    <row r="19" spans="2:16" ht="6" customHeight="1" x14ac:dyDescent="0.25"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54"/>
      <c r="P19" s="53"/>
    </row>
    <row r="20" spans="2:16" x14ac:dyDescent="0.25">
      <c r="B20" s="32" t="s">
        <v>30</v>
      </c>
      <c r="C20" s="32"/>
      <c r="D20" s="33"/>
      <c r="E20" s="33"/>
      <c r="F20" s="33"/>
      <c r="G20" s="33"/>
      <c r="H20" s="33"/>
      <c r="I20" s="33"/>
      <c r="J20" s="33"/>
      <c r="K20" s="33"/>
      <c r="L20" s="33"/>
      <c r="M20" s="34"/>
      <c r="N20" s="35">
        <f>AVERAGE(N9:N18)</f>
        <v>10.459</v>
      </c>
      <c r="O20" s="35">
        <f>AVERAGE(O9:O18)</f>
        <v>1.6359216932527698</v>
      </c>
      <c r="P20" s="35">
        <f>AVERAGE(P9:P18)</f>
        <v>2.097</v>
      </c>
    </row>
    <row r="21" spans="2:16" x14ac:dyDescent="0.25">
      <c r="B21" s="16" t="s">
        <v>31</v>
      </c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8"/>
      <c r="N21" s="19">
        <f>MAX(N9:N18)</f>
        <v>17.420000000000002</v>
      </c>
      <c r="O21" s="19">
        <f>MAX(O9:O18)</f>
        <v>3.609095941445756</v>
      </c>
      <c r="P21" s="19">
        <f>MAX(P9:P18)</f>
        <v>3.18</v>
      </c>
    </row>
    <row r="22" spans="2:16" x14ac:dyDescent="0.25">
      <c r="B22" s="16" t="s">
        <v>32</v>
      </c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6"/>
      <c r="N22" s="19">
        <f>QUARTILE(N9:N18,3)</f>
        <v>12.1425</v>
      </c>
      <c r="O22" s="19">
        <f>QUARTILE(O9:O18,3)</f>
        <v>1.8951317158612324</v>
      </c>
      <c r="P22" s="19">
        <f>QUARTILE(P9:P18,3)</f>
        <v>2.7725</v>
      </c>
    </row>
    <row r="23" spans="2:16" x14ac:dyDescent="0.25">
      <c r="B23" s="32" t="s">
        <v>33</v>
      </c>
      <c r="C23" s="32"/>
      <c r="D23" s="33"/>
      <c r="E23" s="33"/>
      <c r="F23" s="33"/>
      <c r="G23" s="33"/>
      <c r="H23" s="33"/>
      <c r="I23" s="33"/>
      <c r="J23" s="33"/>
      <c r="K23" s="33"/>
      <c r="L23" s="33"/>
      <c r="M23" s="32"/>
      <c r="N23" s="35">
        <f>QUARTILE(N9:N18,2)</f>
        <v>10.295</v>
      </c>
      <c r="O23" s="35">
        <f>QUARTILE(O9:O18,2)</f>
        <v>1.4055311366115628</v>
      </c>
      <c r="P23" s="35">
        <f>QUARTILE(P9:P18,2)</f>
        <v>2.4699999999999998</v>
      </c>
    </row>
    <row r="24" spans="2:16" x14ac:dyDescent="0.25">
      <c r="B24" s="16" t="s">
        <v>43</v>
      </c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9">
        <f>QUARTILE(N9:N18,1)</f>
        <v>8.7350000000000012</v>
      </c>
      <c r="O24" s="19">
        <f>QUARTILE(O9:O18,1)</f>
        <v>1.0534902053097597</v>
      </c>
      <c r="P24" s="19">
        <f>QUARTILE(P9:P18,1)</f>
        <v>1.335</v>
      </c>
    </row>
    <row r="25" spans="2:16" x14ac:dyDescent="0.25">
      <c r="B25" s="16" t="s">
        <v>34</v>
      </c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8"/>
      <c r="N25" s="19">
        <f>MIN(N9:N18)</f>
        <v>5.0999999999999996</v>
      </c>
      <c r="O25" s="19">
        <f>MIN(O9:O18)</f>
        <v>0.75577269557428373</v>
      </c>
      <c r="P25" s="19">
        <f>MIN(P9:P18)</f>
        <v>0.73</v>
      </c>
    </row>
    <row r="27" spans="2:16" ht="15.75" thickBot="1" x14ac:dyDescent="0.3"/>
    <row r="28" spans="2:16" ht="30.75" customHeight="1" x14ac:dyDescent="0.3">
      <c r="B28" s="40"/>
      <c r="C28" s="40"/>
      <c r="D28" s="70" t="s">
        <v>51</v>
      </c>
      <c r="E28" s="70"/>
      <c r="F28" s="48"/>
      <c r="G28" s="70" t="s">
        <v>76</v>
      </c>
      <c r="H28" s="70"/>
      <c r="I28" s="70"/>
    </row>
    <row r="29" spans="2:16" ht="6" customHeight="1" x14ac:dyDescent="0.25">
      <c r="B29" s="31"/>
      <c r="C29" s="31"/>
      <c r="D29" s="31"/>
      <c r="E29" s="31"/>
      <c r="F29" s="31"/>
      <c r="G29" s="31"/>
      <c r="H29" s="31"/>
      <c r="I29" s="31"/>
    </row>
    <row r="30" spans="2:16" ht="21" customHeight="1" x14ac:dyDescent="0.25">
      <c r="B30" s="4" t="s">
        <v>0</v>
      </c>
      <c r="C30" s="4"/>
      <c r="D30" s="44" t="s">
        <v>75</v>
      </c>
      <c r="E30" s="44" t="s">
        <v>52</v>
      </c>
      <c r="F30" s="44"/>
      <c r="G30" s="44" t="str">
        <f>N7</f>
        <v>EV/EBITDA</v>
      </c>
      <c r="H30" s="44" t="str">
        <f>O7</f>
        <v>EV/Sales</v>
      </c>
      <c r="I30" s="44" t="str">
        <f>P7</f>
        <v>Price/BV</v>
      </c>
    </row>
    <row r="31" spans="2:16" ht="14.25" customHeight="1" x14ac:dyDescent="0.25">
      <c r="B31" s="43"/>
      <c r="C31" s="43"/>
      <c r="D31" s="45"/>
      <c r="E31" s="45"/>
      <c r="F31" s="45"/>
      <c r="G31" s="45"/>
      <c r="H31" s="45"/>
      <c r="I31" s="45"/>
    </row>
    <row r="32" spans="2:16" x14ac:dyDescent="0.25">
      <c r="B32" s="8" t="s">
        <v>9</v>
      </c>
      <c r="D32" s="39">
        <f t="shared" ref="D32:D41" si="1">D9*E9</f>
        <v>318372.01</v>
      </c>
      <c r="E32" s="46">
        <f t="shared" ref="E32:E41" si="2">D32/$D$42</f>
        <v>0.358915584617848</v>
      </c>
      <c r="F32" s="46"/>
      <c r="G32" s="47">
        <f t="shared" ref="G32:G41" si="3">N9*E32</f>
        <v>4.4182508466457096</v>
      </c>
      <c r="H32" s="29">
        <f t="shared" ref="H32:H41" si="4">O9*E32</f>
        <v>0.72896420933631789</v>
      </c>
      <c r="I32" s="29">
        <f t="shared" ref="I32:I41" si="5">P9*E32</f>
        <v>1.1413515590847567</v>
      </c>
    </row>
    <row r="33" spans="1:17" x14ac:dyDescent="0.25">
      <c r="B33" s="8" t="s">
        <v>10</v>
      </c>
      <c r="D33" s="39">
        <f t="shared" si="1"/>
        <v>262977.33</v>
      </c>
      <c r="E33" s="46">
        <f t="shared" si="2"/>
        <v>0.29646658366164391</v>
      </c>
      <c r="F33" s="46"/>
      <c r="G33" s="47">
        <f t="shared" si="3"/>
        <v>2.8342205398053157</v>
      </c>
      <c r="H33" s="29">
        <f t="shared" si="4"/>
        <v>0.44098551119169516</v>
      </c>
      <c r="I33" s="29">
        <f t="shared" si="5"/>
        <v>0.76191912001042483</v>
      </c>
    </row>
    <row r="34" spans="1:17" x14ac:dyDescent="0.25">
      <c r="B34" s="8" t="s">
        <v>11</v>
      </c>
      <c r="D34" s="39">
        <f t="shared" si="1"/>
        <v>122114.86</v>
      </c>
      <c r="E34" s="46">
        <f t="shared" si="2"/>
        <v>0.13766576517648854</v>
      </c>
      <c r="F34" s="46"/>
      <c r="G34" s="47">
        <f t="shared" si="3"/>
        <v>1.9410872889884885</v>
      </c>
      <c r="H34" s="29">
        <f t="shared" si="4"/>
        <v>0.36361614276378257</v>
      </c>
      <c r="I34" s="29">
        <f t="shared" si="5"/>
        <v>0.33039783642357251</v>
      </c>
    </row>
    <row r="35" spans="1:17" x14ac:dyDescent="0.25">
      <c r="B35" s="8" t="s">
        <v>12</v>
      </c>
      <c r="D35" s="39">
        <f t="shared" si="1"/>
        <v>81527.39</v>
      </c>
      <c r="E35" s="46">
        <f t="shared" si="2"/>
        <v>9.1909621213929246E-2</v>
      </c>
      <c r="F35" s="46"/>
      <c r="G35" s="47">
        <f t="shared" si="3"/>
        <v>0.77755539546984154</v>
      </c>
      <c r="H35" s="29">
        <f t="shared" si="4"/>
        <v>9.3495280327746358E-2</v>
      </c>
      <c r="I35" s="29">
        <f t="shared" si="5"/>
        <v>0.1240779886388045</v>
      </c>
    </row>
    <row r="36" spans="1:17" x14ac:dyDescent="0.25">
      <c r="B36" s="8" t="s">
        <v>13</v>
      </c>
      <c r="D36" s="39">
        <f t="shared" si="1"/>
        <v>57411.95</v>
      </c>
      <c r="E36" s="46">
        <f t="shared" si="2"/>
        <v>6.472316331545809E-2</v>
      </c>
      <c r="F36" s="46"/>
      <c r="G36" s="47">
        <f t="shared" si="3"/>
        <v>0.676357056646537</v>
      </c>
      <c r="H36" s="29">
        <f t="shared" si="4"/>
        <v>9.3327230857459281E-2</v>
      </c>
      <c r="I36" s="29">
        <f t="shared" si="5"/>
        <v>0.18769717361482846</v>
      </c>
    </row>
    <row r="37" spans="1:17" x14ac:dyDescent="0.25">
      <c r="B37" s="8" t="s">
        <v>14</v>
      </c>
      <c r="D37" s="39">
        <f t="shared" si="1"/>
        <v>18769.95</v>
      </c>
      <c r="E37" s="46">
        <f t="shared" si="2"/>
        <v>2.1160238230420368E-2</v>
      </c>
      <c r="F37" s="46"/>
      <c r="G37" s="47">
        <f t="shared" si="3"/>
        <v>0.21456481565646254</v>
      </c>
      <c r="H37" s="29">
        <f t="shared" si="4"/>
        <v>7.6369329917435474E-2</v>
      </c>
      <c r="I37" s="29">
        <f t="shared" si="5"/>
        <v>5.3747005105267733E-2</v>
      </c>
    </row>
    <row r="38" spans="1:17" x14ac:dyDescent="0.25">
      <c r="B38" s="8" t="s">
        <v>15</v>
      </c>
      <c r="D38" s="39">
        <f t="shared" si="1"/>
        <v>14864.04</v>
      </c>
      <c r="E38" s="46">
        <f t="shared" si="2"/>
        <v>1.6756924097639982E-2</v>
      </c>
      <c r="F38" s="46"/>
      <c r="G38" s="47">
        <f t="shared" si="3"/>
        <v>0.19505059649652939</v>
      </c>
      <c r="H38" s="29">
        <f t="shared" si="4"/>
        <v>2.2942197042284375E-2</v>
      </c>
      <c r="I38" s="29">
        <f t="shared" si="5"/>
        <v>1.893532423033318E-2</v>
      </c>
    </row>
    <row r="39" spans="1:17" x14ac:dyDescent="0.25">
      <c r="B39" s="8" t="s">
        <v>20</v>
      </c>
      <c r="D39" s="39">
        <f t="shared" si="1"/>
        <v>6366.2100000000009</v>
      </c>
      <c r="E39" s="46">
        <f t="shared" si="2"/>
        <v>7.1769248306407032E-3</v>
      </c>
      <c r="F39" s="46"/>
      <c r="G39" s="47">
        <f t="shared" si="3"/>
        <v>0.12502203054976108</v>
      </c>
      <c r="H39" s="29">
        <f t="shared" si="4"/>
        <v>8.3410485980049548E-3</v>
      </c>
      <c r="I39" s="29">
        <f t="shared" si="5"/>
        <v>2.0382466519019597E-2</v>
      </c>
    </row>
    <row r="40" spans="1:17" x14ac:dyDescent="0.25">
      <c r="B40" s="8" t="s">
        <v>19</v>
      </c>
      <c r="D40" s="39">
        <f t="shared" si="1"/>
        <v>2616.1999999999998</v>
      </c>
      <c r="E40" s="46">
        <f t="shared" si="2"/>
        <v>2.949364023794723E-3</v>
      </c>
      <c r="F40" s="46"/>
      <c r="G40" s="47">
        <f t="shared" si="3"/>
        <v>1.5956059368729451E-2</v>
      </c>
      <c r="H40" s="29">
        <f t="shared" si="4"/>
        <v>2.4893912267438143E-3</v>
      </c>
      <c r="I40" s="29">
        <f t="shared" si="5"/>
        <v>2.1530357373701478E-3</v>
      </c>
    </row>
    <row r="41" spans="1:17" x14ac:dyDescent="0.25">
      <c r="B41" s="8" t="s">
        <v>18</v>
      </c>
      <c r="D41" s="39">
        <f t="shared" si="1"/>
        <v>2018.75</v>
      </c>
      <c r="E41" s="46">
        <f t="shared" si="2"/>
        <v>2.2758308321365328E-3</v>
      </c>
      <c r="F41" s="46"/>
      <c r="G41" s="47">
        <f t="shared" si="3"/>
        <v>1.1606737243896317E-2</v>
      </c>
      <c r="H41" s="29">
        <f t="shared" si="4"/>
        <v>1.7200108026748926E-3</v>
      </c>
      <c r="I41" s="29">
        <f t="shared" si="5"/>
        <v>3.0268550067415888E-3</v>
      </c>
    </row>
    <row r="42" spans="1:17" x14ac:dyDescent="0.25">
      <c r="B42" s="52"/>
      <c r="C42" s="52"/>
      <c r="D42" s="55">
        <f>SUM(D32:D41)</f>
        <v>887038.69</v>
      </c>
      <c r="E42" s="56">
        <f>SUM(E32:E41)</f>
        <v>1</v>
      </c>
      <c r="F42" s="56"/>
      <c r="G42" s="57">
        <f>SUM(G32:G41)</f>
        <v>11.209671366871271</v>
      </c>
      <c r="H42" s="57">
        <f t="shared" ref="H42:I42" si="6">SUM(H32:H41)</f>
        <v>1.8322503520641449</v>
      </c>
      <c r="I42" s="57">
        <f t="shared" si="6"/>
        <v>2.6436883643711191</v>
      </c>
    </row>
    <row r="43" spans="1:17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5" spans="1:17" ht="15.75" thickBot="1" x14ac:dyDescent="0.3"/>
    <row r="46" spans="1:17" ht="24" customHeight="1" x14ac:dyDescent="0.3">
      <c r="B46" s="69" t="s">
        <v>53</v>
      </c>
      <c r="C46" s="69"/>
      <c r="D46" s="69"/>
      <c r="E46" s="69"/>
      <c r="F46" s="69"/>
      <c r="G46" s="69"/>
      <c r="H46" s="69"/>
      <c r="I46" s="69"/>
    </row>
    <row r="47" spans="1:17" ht="6" customHeight="1" x14ac:dyDescent="0.25">
      <c r="B47" s="31"/>
      <c r="C47" s="31"/>
      <c r="D47" s="31"/>
      <c r="E47" s="31"/>
      <c r="F47" s="31"/>
      <c r="G47" s="31"/>
      <c r="H47" s="31"/>
      <c r="I47" s="31"/>
    </row>
    <row r="48" spans="1:17" ht="15.75" x14ac:dyDescent="0.25">
      <c r="B48" s="4" t="s">
        <v>54</v>
      </c>
      <c r="C48" s="4"/>
      <c r="D48" s="4"/>
      <c r="E48" s="4" t="s">
        <v>58</v>
      </c>
      <c r="F48" s="4"/>
      <c r="G48" s="4" t="s">
        <v>59</v>
      </c>
      <c r="H48" s="4"/>
      <c r="I48" s="4"/>
    </row>
    <row r="49" spans="2:14" x14ac:dyDescent="0.25">
      <c r="B49" t="s">
        <v>55</v>
      </c>
      <c r="E49" s="39">
        <v>2</v>
      </c>
      <c r="F49" s="39"/>
      <c r="G49" t="s">
        <v>63</v>
      </c>
    </row>
    <row r="50" spans="2:14" x14ac:dyDescent="0.25">
      <c r="B50" t="s">
        <v>60</v>
      </c>
      <c r="E50" s="39">
        <v>1</v>
      </c>
      <c r="F50" s="39"/>
      <c r="G50" t="s">
        <v>64</v>
      </c>
    </row>
    <row r="51" spans="2:14" x14ac:dyDescent="0.25">
      <c r="B51" t="s">
        <v>61</v>
      </c>
      <c r="E51" s="39">
        <v>2</v>
      </c>
      <c r="F51" s="39"/>
      <c r="G51" t="s">
        <v>65</v>
      </c>
    </row>
    <row r="52" spans="2:14" x14ac:dyDescent="0.25">
      <c r="B52" t="s">
        <v>62</v>
      </c>
      <c r="E52" s="39">
        <v>-1</v>
      </c>
      <c r="F52" s="39"/>
      <c r="G52" t="s">
        <v>66</v>
      </c>
    </row>
    <row r="53" spans="2:14" x14ac:dyDescent="0.25">
      <c r="B53" t="s">
        <v>56</v>
      </c>
      <c r="E53" s="39">
        <v>1</v>
      </c>
      <c r="F53" s="39"/>
      <c r="G53" t="s">
        <v>81</v>
      </c>
    </row>
    <row r="54" spans="2:14" x14ac:dyDescent="0.25">
      <c r="B54" s="26" t="s">
        <v>57</v>
      </c>
      <c r="C54" s="26"/>
      <c r="D54" s="26"/>
      <c r="E54" s="55">
        <f>SUM(E49:E53)</f>
        <v>5</v>
      </c>
      <c r="F54" s="42"/>
    </row>
    <row r="56" spans="2:14" ht="15.75" thickBot="1" x14ac:dyDescent="0.3"/>
    <row r="57" spans="2:14" ht="24" customHeight="1" x14ac:dyDescent="0.3">
      <c r="B57" s="69" t="s">
        <v>67</v>
      </c>
      <c r="C57" s="69"/>
      <c r="D57" s="69"/>
      <c r="E57" s="69"/>
      <c r="F57" s="69"/>
      <c r="G57" s="69"/>
      <c r="H57" s="69"/>
      <c r="I57" s="69"/>
      <c r="J57" s="69"/>
      <c r="K57" s="69"/>
    </row>
    <row r="58" spans="2:14" ht="6" customHeight="1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</row>
    <row r="59" spans="2:14" ht="50.25" customHeight="1" x14ac:dyDescent="0.25">
      <c r="B59" s="4" t="s">
        <v>68</v>
      </c>
      <c r="C59" s="4"/>
      <c r="D59" s="4"/>
      <c r="E59" s="6" t="s">
        <v>70</v>
      </c>
      <c r="F59" s="6"/>
      <c r="G59" s="6" t="s">
        <v>69</v>
      </c>
      <c r="H59" s="6" t="s">
        <v>71</v>
      </c>
      <c r="I59" s="6" t="s">
        <v>72</v>
      </c>
      <c r="J59" s="6" t="s">
        <v>73</v>
      </c>
      <c r="K59" s="6" t="s">
        <v>74</v>
      </c>
      <c r="L59" s="41"/>
      <c r="M59" s="41"/>
      <c r="N59" s="41"/>
    </row>
    <row r="61" spans="2:14" x14ac:dyDescent="0.25">
      <c r="B61" t="str">
        <f>N7</f>
        <v>EV/EBITDA</v>
      </c>
      <c r="E61" s="29">
        <f>G42</f>
        <v>11.209671366871271</v>
      </c>
      <c r="F61" s="29"/>
      <c r="G61" s="58">
        <v>2.5000000000000001E-2</v>
      </c>
      <c r="H61" s="39">
        <f>$E$54</f>
        <v>5</v>
      </c>
      <c r="I61" s="59">
        <f>G61*H61</f>
        <v>0.125</v>
      </c>
      <c r="J61" s="29">
        <f>1+I61</f>
        <v>1.125</v>
      </c>
      <c r="K61" s="60">
        <f>E61*J61</f>
        <v>12.610880287730181</v>
      </c>
    </row>
    <row r="62" spans="2:14" x14ac:dyDescent="0.25">
      <c r="B62" t="str">
        <f>O7</f>
        <v>EV/Sales</v>
      </c>
      <c r="E62" s="29">
        <f>H42</f>
        <v>1.8322503520641449</v>
      </c>
      <c r="F62" s="29"/>
      <c r="G62" s="58">
        <v>1.4999999999999999E-2</v>
      </c>
      <c r="H62" s="39">
        <f t="shared" ref="H62:H63" si="7">$E$54</f>
        <v>5</v>
      </c>
      <c r="I62" s="59">
        <f t="shared" ref="I62:I63" si="8">G62*H62</f>
        <v>7.4999999999999997E-2</v>
      </c>
      <c r="J62" s="29">
        <f t="shared" ref="J62:J63" si="9">1+I62</f>
        <v>1.075</v>
      </c>
      <c r="K62" s="60">
        <f t="shared" ref="K62:K63" si="10">E62*J62</f>
        <v>1.9696691284689556</v>
      </c>
    </row>
    <row r="63" spans="2:14" x14ac:dyDescent="0.25">
      <c r="B63" t="str">
        <f>P7</f>
        <v>Price/BV</v>
      </c>
      <c r="E63" s="29">
        <f>I42</f>
        <v>2.6436883643711191</v>
      </c>
      <c r="F63" s="29"/>
      <c r="G63" s="58">
        <v>0.04</v>
      </c>
      <c r="H63" s="39">
        <f t="shared" si="7"/>
        <v>5</v>
      </c>
      <c r="I63" s="59">
        <f t="shared" si="8"/>
        <v>0.2</v>
      </c>
      <c r="J63" s="29">
        <f t="shared" si="9"/>
        <v>1.2</v>
      </c>
      <c r="K63" s="60">
        <f t="shared" si="10"/>
        <v>3.172426037245343</v>
      </c>
    </row>
    <row r="66" spans="2:16" ht="24.75" x14ac:dyDescent="0.5">
      <c r="B66" s="24" t="s">
        <v>35</v>
      </c>
      <c r="G66" s="3"/>
    </row>
    <row r="67" spans="2:16" ht="6" customHeight="1" x14ac:dyDescent="0.25"/>
    <row r="68" spans="2:16" x14ac:dyDescent="0.25">
      <c r="B68" s="25" t="s">
        <v>46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 t="str">
        <f>N7</f>
        <v>EV/EBITDA</v>
      </c>
      <c r="O68" s="25" t="str">
        <f>O7</f>
        <v>EV/Sales</v>
      </c>
      <c r="P68" s="25" t="str">
        <f>P7</f>
        <v>Price/BV</v>
      </c>
    </row>
    <row r="69" spans="2:16" ht="4.5" customHeight="1" x14ac:dyDescent="0.25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</row>
    <row r="70" spans="2:16" x14ac:dyDescent="0.25">
      <c r="B70" t="s">
        <v>39</v>
      </c>
      <c r="N70">
        <f>L9*K61</f>
        <v>385900.11814254656</v>
      </c>
      <c r="O70">
        <f>K62*H9</f>
        <v>365314.53325713717</v>
      </c>
    </row>
    <row r="71" spans="2:16" x14ac:dyDescent="0.25">
      <c r="B71" t="s">
        <v>40</v>
      </c>
      <c r="N71" s="3">
        <f>I9</f>
        <v>99310</v>
      </c>
      <c r="O71" s="3">
        <f>N71</f>
        <v>99310</v>
      </c>
    </row>
    <row r="72" spans="2:16" x14ac:dyDescent="0.25">
      <c r="B72" t="s">
        <v>41</v>
      </c>
      <c r="N72" s="3">
        <f>N70-N71</f>
        <v>286590.11814254656</v>
      </c>
      <c r="O72">
        <f>O70-O71</f>
        <v>266004.53325713717</v>
      </c>
      <c r="P72">
        <f>K63*J9</f>
        <v>317410.74230450828</v>
      </c>
    </row>
    <row r="73" spans="2:16" x14ac:dyDescent="0.25">
      <c r="B73" t="s">
        <v>2</v>
      </c>
      <c r="N73" s="3">
        <f>E9</f>
        <v>244.69449696410732</v>
      </c>
      <c r="O73" s="3">
        <f>N73</f>
        <v>244.69449696410732</v>
      </c>
      <c r="P73" s="3">
        <f>O73</f>
        <v>244.69449696410732</v>
      </c>
    </row>
    <row r="74" spans="2:16" x14ac:dyDescent="0.25">
      <c r="B74" s="26" t="s">
        <v>42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36">
        <f>N72/N73</f>
        <v>1171.2160334549112</v>
      </c>
      <c r="O74" s="36">
        <f t="shared" ref="O74:P74" si="11">O72/O73</f>
        <v>1087.0883348723437</v>
      </c>
      <c r="P74" s="36">
        <f t="shared" si="11"/>
        <v>1297.1715598126723</v>
      </c>
    </row>
    <row r="76" spans="2:16" x14ac:dyDescent="0.25">
      <c r="N76" s="27" t="str">
        <f>IF($D$9&gt;N74,"OverValued","UnderValued")</f>
        <v>OverValued</v>
      </c>
      <c r="O76" s="27" t="str">
        <f t="shared" ref="O76:P76" si="12">IF($D$9&gt;O74,"OverValued","UnderValued")</f>
        <v>OverValued</v>
      </c>
      <c r="P76" s="27" t="str">
        <f t="shared" si="12"/>
        <v>OverValued</v>
      </c>
    </row>
    <row r="78" spans="2:16" ht="24.75" x14ac:dyDescent="0.5">
      <c r="B78" s="24" t="s">
        <v>48</v>
      </c>
    </row>
    <row r="79" spans="2:16" ht="6" customHeight="1" x14ac:dyDescent="0.25"/>
    <row r="80" spans="2:16" ht="18.75" x14ac:dyDescent="0.3">
      <c r="B80" s="64" t="s">
        <v>49</v>
      </c>
      <c r="C80" s="62"/>
      <c r="D80" s="62"/>
      <c r="E80" s="62"/>
    </row>
    <row r="81" spans="2:12" ht="18.75" x14ac:dyDescent="0.3">
      <c r="B81" s="64" t="s">
        <v>50</v>
      </c>
      <c r="C81" s="62"/>
      <c r="D81" s="62"/>
      <c r="E81" s="62"/>
      <c r="F81" s="62"/>
      <c r="G81" s="62"/>
      <c r="H81" s="62"/>
      <c r="I81" s="62"/>
      <c r="J81" s="62"/>
      <c r="K81" s="62"/>
      <c r="L81" s="62"/>
    </row>
    <row r="82" spans="2:12" ht="18.75" x14ac:dyDescent="0.3">
      <c r="B82" s="64" t="s">
        <v>79</v>
      </c>
      <c r="C82" s="62"/>
      <c r="D82" s="62"/>
      <c r="E82" s="62"/>
      <c r="F82" s="62"/>
      <c r="G82" s="62"/>
      <c r="H82" s="62"/>
      <c r="I82" s="62"/>
      <c r="J82" s="62"/>
      <c r="K82" s="62"/>
      <c r="L82" s="62"/>
    </row>
    <row r="83" spans="2:12" ht="18.75" x14ac:dyDescent="0.3">
      <c r="F83" s="62"/>
      <c r="G83" s="62"/>
      <c r="H83" s="62"/>
      <c r="I83" s="62"/>
      <c r="J83" s="62"/>
      <c r="K83" s="62"/>
      <c r="L83" s="62"/>
    </row>
  </sheetData>
  <mergeCells count="6">
    <mergeCell ref="N5:P5"/>
    <mergeCell ref="B46:I46"/>
    <mergeCell ref="B57:K57"/>
    <mergeCell ref="D28:E28"/>
    <mergeCell ref="G28:I28"/>
    <mergeCell ref="D5:L5"/>
  </mergeCells>
  <printOptions horizontalCentered="1" verticalCentered="1"/>
  <pageMargins left="0.31496062992125984" right="0.31496062992125984" top="0" bottom="0.35433070866141736" header="0.31496062992125984" footer="0.31496062992125984"/>
  <pageSetup paperSize="12" scale="98" fitToWidth="0" fitToHeight="0" orientation="landscape" r:id="rId1"/>
  <rowBreaks count="1" manualBreakCount="1">
    <brk id="43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49CB-AA3B-480F-A845-538F62E472A0}">
  <dimension ref="A2:I12"/>
  <sheetViews>
    <sheetView workbookViewId="0">
      <selection activeCell="B8" sqref="B8"/>
    </sheetView>
  </sheetViews>
  <sheetFormatPr defaultRowHeight="15" x14ac:dyDescent="0.25"/>
  <cols>
    <col min="2" max="2" width="15.28515625" bestFit="1" customWidth="1"/>
    <col min="3" max="3" width="9.42578125" bestFit="1" customWidth="1"/>
    <col min="4" max="4" width="16.5703125" bestFit="1" customWidth="1"/>
    <col min="5" max="5" width="14.140625" bestFit="1" customWidth="1"/>
    <col min="6" max="6" width="12.42578125" bestFit="1" customWidth="1"/>
    <col min="7" max="7" width="14.28515625" bestFit="1" customWidth="1"/>
    <col min="8" max="8" width="16.28515625" bestFit="1" customWidth="1"/>
    <col min="9" max="9" width="14.5703125" bestFit="1" customWidth="1"/>
    <col min="10" max="10" width="12.140625" customWidth="1"/>
  </cols>
  <sheetData>
    <row r="2" spans="1:9" ht="17.25" x14ac:dyDescent="0.25">
      <c r="A2" s="72" t="s">
        <v>3</v>
      </c>
      <c r="B2" s="72" t="s">
        <v>4</v>
      </c>
      <c r="C2" s="72" t="s">
        <v>5</v>
      </c>
      <c r="D2" s="72" t="s">
        <v>6</v>
      </c>
      <c r="E2" s="72" t="s">
        <v>7</v>
      </c>
      <c r="F2" s="72" t="s">
        <v>8</v>
      </c>
      <c r="G2" s="72" t="s">
        <v>36</v>
      </c>
      <c r="H2" s="72" t="s">
        <v>37</v>
      </c>
      <c r="I2" s="72" t="s">
        <v>44</v>
      </c>
    </row>
    <row r="3" spans="1:9" x14ac:dyDescent="0.25">
      <c r="A3" s="71">
        <v>1</v>
      </c>
      <c r="B3" s="71" t="s">
        <v>9</v>
      </c>
      <c r="C3" s="71">
        <v>1301.0999999999999</v>
      </c>
      <c r="D3" s="71">
        <v>318372.01</v>
      </c>
      <c r="E3" s="71">
        <v>376693.01</v>
      </c>
      <c r="F3" s="71">
        <v>185470</v>
      </c>
      <c r="G3" s="71">
        <v>305</v>
      </c>
      <c r="H3" s="71">
        <v>99748</v>
      </c>
      <c r="I3" s="71">
        <v>30600.569455727051</v>
      </c>
    </row>
    <row r="4" spans="1:9" x14ac:dyDescent="0.25">
      <c r="A4" s="71">
        <v>2</v>
      </c>
      <c r="B4" s="71" t="s">
        <v>10</v>
      </c>
      <c r="C4" s="71">
        <v>210.57</v>
      </c>
      <c r="D4" s="71">
        <v>262977.33</v>
      </c>
      <c r="E4" s="71">
        <v>345301.48</v>
      </c>
      <c r="F4" s="71">
        <v>232139.94</v>
      </c>
      <c r="G4" s="71">
        <v>1247.44</v>
      </c>
      <c r="H4" s="71">
        <v>100920.21</v>
      </c>
      <c r="I4" s="71">
        <v>36119.401673640161</v>
      </c>
    </row>
    <row r="5" spans="1:9" x14ac:dyDescent="0.25">
      <c r="A5" s="71">
        <v>3</v>
      </c>
      <c r="B5" s="71" t="s">
        <v>11</v>
      </c>
      <c r="C5" s="71">
        <v>1197.2</v>
      </c>
      <c r="D5" s="71">
        <v>122114.86</v>
      </c>
      <c r="E5" s="71">
        <v>140582.81</v>
      </c>
      <c r="F5" s="71">
        <v>53224.92</v>
      </c>
      <c r="G5" s="71">
        <v>101.75</v>
      </c>
      <c r="H5" s="71">
        <v>50797.16</v>
      </c>
      <c r="I5" s="71">
        <v>9970.4120567375885</v>
      </c>
    </row>
    <row r="6" spans="1:9" x14ac:dyDescent="0.25">
      <c r="A6" s="71">
        <v>4</v>
      </c>
      <c r="B6" s="71" t="s">
        <v>12</v>
      </c>
      <c r="C6" s="71">
        <v>197.31</v>
      </c>
      <c r="D6" s="71">
        <v>81527.39</v>
      </c>
      <c r="E6" s="71">
        <v>112722.59</v>
      </c>
      <c r="F6" s="71">
        <v>110810.84</v>
      </c>
      <c r="G6" s="71">
        <v>4130.53</v>
      </c>
      <c r="H6" s="71">
        <v>56225.35</v>
      </c>
      <c r="I6" s="71">
        <v>13324.183215130022</v>
      </c>
    </row>
    <row r="7" spans="1:9" x14ac:dyDescent="0.25">
      <c r="A7" s="71">
        <v>5</v>
      </c>
      <c r="B7" s="71" t="s">
        <v>13</v>
      </c>
      <c r="C7" s="71">
        <v>696.75</v>
      </c>
      <c r="D7" s="71">
        <v>57411.95</v>
      </c>
      <c r="E7" s="71">
        <v>61938.25</v>
      </c>
      <c r="F7" s="71">
        <v>42954.66</v>
      </c>
      <c r="G7" s="71">
        <v>164.79</v>
      </c>
      <c r="H7" s="71">
        <v>19626.490000000002</v>
      </c>
      <c r="I7" s="71">
        <v>5927.105263157895</v>
      </c>
    </row>
    <row r="8" spans="1:9" x14ac:dyDescent="0.25">
      <c r="A8" s="71">
        <v>6</v>
      </c>
      <c r="B8" s="71" t="s">
        <v>14</v>
      </c>
      <c r="C8" s="71">
        <v>532.20000000000005</v>
      </c>
      <c r="D8" s="71">
        <v>18769.95</v>
      </c>
      <c r="E8" s="71">
        <v>20537.38</v>
      </c>
      <c r="F8" s="71">
        <v>5690.45</v>
      </c>
      <c r="G8" s="71">
        <v>35.24</v>
      </c>
      <c r="H8" s="71">
        <v>7334.76</v>
      </c>
      <c r="I8" s="71">
        <v>2025.3826429980277</v>
      </c>
    </row>
    <row r="9" spans="1:9" x14ac:dyDescent="0.25">
      <c r="A9" s="71">
        <v>7</v>
      </c>
      <c r="B9" s="71" t="s">
        <v>15</v>
      </c>
      <c r="C9" s="71">
        <v>50.72</v>
      </c>
      <c r="D9" s="71">
        <v>14864.04</v>
      </c>
      <c r="E9" s="71">
        <v>18677.240000000002</v>
      </c>
      <c r="F9" s="71">
        <v>13641.81</v>
      </c>
      <c r="G9" s="71">
        <v>2930.61</v>
      </c>
      <c r="H9" s="71">
        <v>10242.59</v>
      </c>
      <c r="I9" s="71">
        <v>1604.5738831615122</v>
      </c>
    </row>
    <row r="10" spans="1:9" x14ac:dyDescent="0.25">
      <c r="A10" s="71">
        <v>8</v>
      </c>
      <c r="B10" s="71" t="s">
        <v>16</v>
      </c>
      <c r="C10" s="71">
        <v>70.37</v>
      </c>
      <c r="D10" s="71">
        <v>6366.21</v>
      </c>
      <c r="E10" s="71">
        <v>6722.5</v>
      </c>
      <c r="F10" s="71">
        <v>5784.27</v>
      </c>
      <c r="G10" s="71">
        <v>182.45</v>
      </c>
      <c r="H10" s="71">
        <v>2075.11</v>
      </c>
      <c r="I10" s="71">
        <v>385.90700344431684</v>
      </c>
    </row>
    <row r="11" spans="1:9" x14ac:dyDescent="0.25">
      <c r="A11" s="71">
        <v>9</v>
      </c>
      <c r="B11" s="71" t="s">
        <v>17</v>
      </c>
      <c r="C11" s="71">
        <v>146.38999999999999</v>
      </c>
      <c r="D11" s="71">
        <v>2616.1999999999998</v>
      </c>
      <c r="E11" s="71">
        <v>2936.14</v>
      </c>
      <c r="F11" s="71">
        <v>3478.66</v>
      </c>
      <c r="G11" s="71">
        <v>179.08</v>
      </c>
      <c r="H11" s="71">
        <v>3409.29</v>
      </c>
      <c r="I11" s="71">
        <v>542.72458410351203</v>
      </c>
    </row>
    <row r="12" spans="1:9" x14ac:dyDescent="0.25">
      <c r="A12" s="71">
        <v>10</v>
      </c>
      <c r="B12" s="71" t="s">
        <v>18</v>
      </c>
      <c r="C12" s="71">
        <v>139.66999999999999</v>
      </c>
      <c r="D12" s="71">
        <v>2018.75</v>
      </c>
      <c r="E12" s="71">
        <v>3695.6</v>
      </c>
      <c r="F12" s="71">
        <v>4889.83</v>
      </c>
      <c r="G12" s="71">
        <v>144.51</v>
      </c>
      <c r="H12" s="71">
        <v>1377.82</v>
      </c>
      <c r="I12" s="71">
        <v>724.62745098039215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SSEI</vt:lpstr>
      <vt:lpstr>Data Sheet</vt:lpstr>
      <vt:lpstr>Sheet1!Print_Area</vt:lpstr>
      <vt:lpstr>SSEI!Print_Area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malra</dc:creator>
  <cp:lastModifiedBy>yash malra</cp:lastModifiedBy>
  <cp:lastPrinted>2026-06-16T08:29:33Z</cp:lastPrinted>
  <dcterms:created xsi:type="dcterms:W3CDTF">2026-06-04T16:21:39Z</dcterms:created>
  <dcterms:modified xsi:type="dcterms:W3CDTF">2026-09-30T15:36:34Z</dcterms:modified>
</cp:coreProperties>
</file>